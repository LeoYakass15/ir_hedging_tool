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ricer" sheetId="1" r:id="rId1"/>
    <sheet name="Pitch" sheetId="2" r:id="rId2"/>
    <sheet name="Schedule" sheetId="3" r:id="rId3"/>
    <sheet name="Scenarios" sheetId="4" r:id="rId4"/>
    <sheet name="Risk" sheetId="5" r:id="rId5"/>
    <sheet name="Curves" sheetId="6" r:id="rId6"/>
    <sheet name="Distribution" sheetId="7" r:id="rId7"/>
    <sheet name="Market" sheetId="8" r:id="rId8"/>
    <sheet name="Notes" sheetId="9" r:id="rId9"/>
  </sheets>
  <definedNames>
    <definedName name="Accr">Schedule!$E$3:$E$42</definedName>
    <definedName name="Amort">Pricer!$C$10</definedName>
    <definedName name="Annuity1">Schedule!$K$44</definedName>
    <definedName name="Budget">Pricer!$C$11</definedName>
    <definedName name="CapPremium">Pricer!$I$16</definedName>
    <definedName name="CapStrike">Pricer!$C$15</definedName>
    <definedName name="CapVolBp">Pricer!$C$24</definedName>
    <definedName name="CollarFloor">Pricer!$G$17</definedName>
    <definedName name="DealData">Risk!$B$4:$B$7</definedName>
    <definedName name="DistTop">Distribution!$A$3</definedName>
    <definedName name="FanTop">Distribution!$K$3</definedName>
    <definedName name="FixingNow">Pricer!$C$22</definedName>
    <definedName name="FloorOn">IF(Pricer!$C$9="Yes",1,0)</definedName>
    <definedName name="FloorOverride">Pricer!$C$16</definedName>
    <definedName name="FloorYN">Pricer!$C$9</definedName>
    <definedName name="FSwapRate">Pricer!$F$15</definedName>
    <definedName name="Fwd">Schedule!$I$3:$I$42</definedName>
    <definedName name="HedgeRatio">Pricer!$C$14</definedName>
    <definedName name="Linear">IF(Pricer!$C$10="Linear",1,0)</definedName>
    <definedName name="LoanN">Schedule!$H$3:$H$42</definedName>
    <definedName name="Margin">Pricer!$C$8</definedName>
    <definedName name="MarginBp">Pricer!$C$17</definedName>
    <definedName name="Mask">Schedule!$L$3:$L$42</definedName>
    <definedName name="McTop">Pricer!$K$13</definedName>
    <definedName name="MeanRev">Pricer!$C$29</definedName>
    <definedName name="MktData">Market!$A$6:$D$45</definedName>
    <definedName name="MktShift">Pricer!$C$20</definedName>
    <definedName name="Notional">Pricer!$C$6</definedName>
    <definedName name="NPaths">Pricer!$C$27</definedName>
    <definedName name="NPer">Pricer!$C$7*4</definedName>
    <definedName name="ParRate">Pricer!$C$23</definedName>
    <definedName name="_xlnm.Print_Area" localSheetId="7">Market!$A$1:$F$45</definedName>
    <definedName name="_xlnm.Print_Area" localSheetId="1">Pitch!$A$1:$B$26</definedName>
    <definedName name="_xlnm.Print_Area" localSheetId="0">Pricer!$A$1:$O$50</definedName>
    <definedName name="ScenView">Pricer!$C$30</definedName>
    <definedName name="Seed">Pricer!$C$28</definedName>
    <definedName name="Status">Pricer!$E$8</definedName>
    <definedName name="SumBase">SUMPRODUCT(Schedule!$H$3:$H$42,Schedule!$E$3:$E$42)</definedName>
    <definedName name="SwapRate">Pricer!$F$14</definedName>
    <definedName name="TFix">Schedule!$F$3:$F$42</definedName>
    <definedName name="ValDate">Market!$D$6</definedName>
    <definedName name="VolShift">Pricer!$C$21</definedName>
    <definedName name="Years">Pricer!$C$7</definedName>
  </definedNames>
  <calcPr calcId="124519" fullCalcOnLoad="1"/>
</workbook>
</file>

<file path=xl/sharedStrings.xml><?xml version="1.0" encoding="utf-8"?>
<sst xmlns="http://schemas.openxmlformats.org/spreadsheetml/2006/main" count="255" uniqueCount="167">
  <si>
    <t>EUR rates market snapshot (illustrative, edit the yellow cells)</t>
  </si>
  <si>
    <t>Rates in %, cap volatilities as normal (Bachelier) vols in bp. The curves, the prices and the risks are recomputed from this table.</t>
  </si>
  <si>
    <t>Instrument</t>
  </si>
  <si>
    <t>Tenor</t>
  </si>
  <si>
    <t>Months</t>
  </si>
  <si>
    <t>Quote</t>
  </si>
  <si>
    <t>Valuation date</t>
  </si>
  <si>
    <t>OIS (EUR STR)</t>
  </si>
  <si>
    <t>1M</t>
  </si>
  <si>
    <t>3M</t>
  </si>
  <si>
    <t>6M</t>
  </si>
  <si>
    <t>1Y</t>
  </si>
  <si>
    <t>2Y</t>
  </si>
  <si>
    <t>3Y</t>
  </si>
  <si>
    <t>4Y</t>
  </si>
  <si>
    <t>5Y</t>
  </si>
  <si>
    <t>6Y</t>
  </si>
  <si>
    <t>7Y</t>
  </si>
  <si>
    <t>8Y</t>
  </si>
  <si>
    <t>10Y</t>
  </si>
  <si>
    <t>12Y</t>
  </si>
  <si>
    <t>15Y</t>
  </si>
  <si>
    <t>20Y</t>
  </si>
  <si>
    <t>Fixing Euribor 3M</t>
  </si>
  <si>
    <t>IRS vs Euribor 3M</t>
  </si>
  <si>
    <t>Cap vol (bp)</t>
  </si>
  <si>
    <t>OIS (EUR STR): overnight index swaps. They build the discounting curve: since 2008 collateralised swaps are discounted at the overnight rate.</t>
  </si>
  <si>
    <t>Today's Euribor 3M fixing: the first quarter of the loan is already known.</t>
  </si>
  <si>
    <t>Swaps fixed (annual, 30/360) against Euribor 3M (quarterly). They build the Euribor projection curve, discounted on the EUR STR curve.</t>
  </si>
  <si>
    <t>Flat normal volatility of caps by maturity, in bp. Used for caps, floors and the simulation.</t>
  </si>
  <si>
    <t>Interest Rate Hedging Tool  |  Hedging a floating-rate loan</t>
  </si>
  <si>
    <t>Yellow = input. Blue = live formula. Grey = Monte Carlo output (button). Market data is illustrative.</t>
  </si>
  <si>
    <t>CLIENT LOAN</t>
  </si>
  <si>
    <t>Loan amount (EUR)</t>
  </si>
  <si>
    <t>Maturity (years, 1 to 10)</t>
  </si>
  <si>
    <t>Loan margin over Euribor 3M</t>
  </si>
  <si>
    <t>0% floor on Euribor in the loan</t>
  </si>
  <si>
    <t>Yes</t>
  </si>
  <si>
    <t>Repayment</t>
  </si>
  <si>
    <t>Bullet</t>
  </si>
  <si>
    <t>Budget: maximum all-in cost</t>
  </si>
  <si>
    <t>HEDGE TERMS</t>
  </si>
  <si>
    <t>Hedge ratio</t>
  </si>
  <si>
    <t>Cap strike (cap and collar)</t>
  </si>
  <si>
    <t>Collar floor strike (blank = zero-cost)</t>
  </si>
  <si>
    <t>Sales margin (bp per year)</t>
  </si>
  <si>
    <t>MARKET</t>
  </si>
  <si>
    <t>Parallel move of all rates (bp)</t>
  </si>
  <si>
    <t>Cap volatility move (bp)</t>
  </si>
  <si>
    <t>Euribor 3M fixing today</t>
  </si>
  <si>
    <t>Par swap rate matching the loan</t>
  </si>
  <si>
    <t>Cap volatility used (bp)</t>
  </si>
  <si>
    <t>SIMULATION</t>
  </si>
  <si>
    <t>Monte Carlo paths</t>
  </si>
  <si>
    <t>Random seed</t>
  </si>
  <si>
    <t>Mean reversion of rates</t>
  </si>
  <si>
    <t>Centre of the scenarios</t>
  </si>
  <si>
    <t>Forwards are realised</t>
  </si>
  <si>
    <t>Every number in blue updates as soon as an input changes (curves, prices, scenarios, risks, pitch). The button only refreshes the grey Monte Carlo columns.</t>
  </si>
  <si>
    <t>Pre-computed results (20,000 paths, seed 42). Click 'Run Monte Carlo' after changing the inputs.</t>
  </si>
  <si>
    <t>Borrower: a LOWER all-in cost is better. All-in cost = Euribor (floored if the loan has a floor) + margin - hedge flows + premium spread over the life of the loan.</t>
  </si>
  <si>
    <t>Strategy</t>
  </si>
  <si>
    <t>Fixed rate / cap</t>
  </si>
  <si>
    <t>Floor</t>
  </si>
  <si>
    <t>Mid value to client (EUR)</t>
  </si>
  <si>
    <t>Upfront premium (EUR)</t>
  </si>
  <si>
    <t>Premium (bp per year)</t>
  </si>
  <si>
    <t>Expected all-in</t>
  </si>
  <si>
    <t>Worst 5%</t>
  </si>
  <si>
    <t>Best 5%</t>
  </si>
  <si>
    <t>Worst quarter (95%)</t>
  </si>
  <si>
    <t>P(above budget)</t>
  </si>
  <si>
    <t>Unhedged</t>
  </si>
  <si>
    <t>Payer swap</t>
  </si>
  <si>
    <t>Floored payer swap</t>
  </si>
  <si>
    <t>Cap</t>
  </si>
  <si>
    <t>Zero-cost collar</t>
  </si>
  <si>
    <t>Mid value = what the hedge is worth to the client today at mid-market (zero for a trade at market).</t>
  </si>
  <si>
    <t>The collar floor is solved live so that the collar costs nothing. Type a floor in C16 to price another one.</t>
  </si>
  <si>
    <t>Hedge risk (live, from the Risk sheet)</t>
  </si>
  <si>
    <t>Hedge</t>
  </si>
  <si>
    <t>DV01 (EUR/bp)</t>
  </si>
  <si>
    <t>Vega (EUR/bp vol)</t>
  </si>
  <si>
    <t>MtM rates -100bp</t>
  </si>
  <si>
    <t>MtM rates +100bp</t>
  </si>
  <si>
    <t>Live pricing per quarter: dates, Euribor forwards, discount factors, swaps and Bachelier caplets (rows beyond the loan maturity are inactive)</t>
  </si>
  <si>
    <t>Period</t>
  </si>
  <si>
    <t>Active</t>
  </si>
  <si>
    <t>Start (fixing)</t>
  </si>
  <si>
    <t>End (payment)</t>
  </si>
  <si>
    <t>Accrual (ACT/360)</t>
  </si>
  <si>
    <t>T fixing (y)</t>
  </si>
  <si>
    <t>T payment (y)</t>
  </si>
  <si>
    <t>Loan notional</t>
  </si>
  <si>
    <t>Euribor 3M forward</t>
  </si>
  <si>
    <t>DF EUR STR</t>
  </si>
  <si>
    <t>N x accrual x DF</t>
  </si>
  <si>
    <t>Moves in scenarios</t>
  </si>
  <si>
    <t>Vol x sqrt(T)</t>
  </si>
  <si>
    <t>d (cap)</t>
  </si>
  <si>
    <t>Caplet value</t>
  </si>
  <si>
    <t>d (0% floor)</t>
  </si>
  <si>
    <t>0% floorlet value</t>
  </si>
  <si>
    <t>d (collar floor)</t>
  </si>
  <si>
    <t>Collar floorlet value</t>
  </si>
  <si>
    <t>Payer swap value</t>
  </si>
  <si>
    <t>Floored swap: swap leg</t>
  </si>
  <si>
    <t>Total</t>
  </si>
  <si>
    <t>Totals: K = annuity of the loan (sum of N x accrual x DF), O = cap value, Q = value of the 0% floor, S = value of the collar floor, T and U = swap values. Pricer values multiply them by the hedge ratio.</t>
  </si>
  <si>
    <t>All-in cost of the loan if the whole Euribor curve moves by X bp and the forwards are realised (live formulas)</t>
  </si>
  <si>
    <t>Rates move (bp)</t>
  </si>
  <si>
    <t>Average Euribor</t>
  </si>
  <si>
    <t>Budget</t>
  </si>
  <si>
    <t>The first fixing is already known today and does not move. The cap premium is spread over the life of the loan.</t>
  </si>
  <si>
    <t>Mark-to-market and risk of the hedges (live: the curves are rebuilt for each move)</t>
  </si>
  <si>
    <t>Deal terms passed to the VBA functions</t>
  </si>
  <si>
    <t>Maturity (months)</t>
  </si>
  <si>
    <t>Linear repayment (1/0)</t>
  </si>
  <si>
    <t>Mid value (EUR)</t>
  </si>
  <si>
    <t>DV01 (EUR per bp)</t>
  </si>
  <si>
    <t>Vega (EUR per bp of vol)</t>
  </si>
  <si>
    <t>MtM if rates -100bp</t>
  </si>
  <si>
    <t>MtM if rates +100bp</t>
  </si>
  <si>
    <t>DV01: change in value for +1bp on every rate quote (curves rebuilt). Vega: +1bp of cap volatility. Positive = the client gains when rates rise.</t>
  </si>
  <si>
    <t>Rates move tomorrow (bp)</t>
  </si>
  <si>
    <t>Swap tenor</t>
  </si>
  <si>
    <t>Key-rate DV01 of the payer swap (EUR per bp)</t>
  </si>
  <si>
    <t>Cap levers: the higher the strike, the cheaper the cap and the lower the collar floor</t>
  </si>
  <si>
    <t>Cap strike</t>
  </si>
  <si>
    <t>Cap premium (EUR)</t>
  </si>
  <si>
    <t>Worst-case all-in with the cap</t>
  </si>
  <si>
    <t>Zero-cost collar floor</t>
  </si>
  <si>
    <t>Dual-curve bootstrap: EUR STR discounting curve and Euribor 3M projection curve (live)</t>
  </si>
  <si>
    <t>Each quote is repriced off the bootstrapped curves: the error column shows the curves fit the market exactly.</t>
  </si>
  <si>
    <t>Maturity</t>
  </si>
  <si>
    <t>Curve</t>
  </si>
  <si>
    <t>Discount factor</t>
  </si>
  <si>
    <t>Zero rate (cc, ACT/365)</t>
  </si>
  <si>
    <t>Quote repriced</t>
  </si>
  <si>
    <t>Error (bp)</t>
  </si>
  <si>
    <t>Years</t>
  </si>
  <si>
    <t>Date</t>
  </si>
  <si>
    <t>EUR STR zero rate</t>
  </si>
  <si>
    <t>Monte Carlo: all-in cost from the best (1%) to the worst (99%) scenario, and simulated Euribor fixings (macro output)</t>
  </si>
  <si>
    <t>Percentile</t>
  </si>
  <si>
    <t>Forward</t>
  </si>
  <si>
    <t>5%</t>
  </si>
  <si>
    <t>25%</t>
  </si>
  <si>
    <t>Median</t>
  </si>
  <si>
    <t>75%</t>
  </si>
  <si>
    <t>95%</t>
  </si>
  <si>
    <t>Protecting your floating-rate loan: hedging proposal</t>
  </si>
  <si>
    <t>Indicative mid-market levels built from the Pricer sheet. Illustrative market data, not an offer.</t>
  </si>
  <si>
    <t>Your situation</t>
  </si>
  <si>
    <t>Our proposals</t>
  </si>
  <si>
    <t>What you should know</t>
  </si>
  <si>
    <t>Next steps</t>
  </si>
  <si>
    <t>1. Agree the hedge ratio and the share of the loan to protect.  2. ISDA / FBF master agreement and credit line.  3. Live pricing and execution on the day.</t>
  </si>
  <si>
    <t>How to use</t>
  </si>
  <si>
    <t>Enable macros (the workbook recalculates on opening). Change the yellow cells on the Pricer sheet or the market quotes on the Market sheet: the curves, prices, scenarios, risks and the pitch update instantly. Click 'Run Monte Carlo' to refresh the grey statistics.</t>
  </si>
  <si>
    <t>What each sheet does</t>
  </si>
  <si>
    <t>Curves: bootstraps the EUR STR and Euribor 3M curves and reprices every quote. Schedule: prices the loan quarter by quarter (forward Euribor, discount factor, swap and option values). Scenarios: all-in cost if rates move by -300 to +400 bp. Risk: value of each hedge if rates move tomorrow, DV01, vega, key rates and cap levers. Distribution: Monte Carlo results.</t>
  </si>
  <si>
    <t>Method</t>
  </si>
  <si>
    <t>Curves: discounting on EUR STR (market standard since 2008), Euribor forwards from their own curve. Swaps: the hedge swap follows the loan schedule (quarterly, ACT/360). Caps and floors: Bachelier (normal) model, the market standard since rates turned negative, with the cap volatility of the loan maturity. Floored swap: the swap rate plus the cost of a 0% floor spread over the life of the loan. Collar: floor strike solved so that the collar costs nothing (minus the sales margin).</t>
  </si>
  <si>
    <t>Simulation: one-factor Gaussian model of Euribor (Hull-White style), each fixing having the same normal volatility as the caps, with mean reversion. Random numbers: MRG32k3a with antithetic paths, so the same seed gives the same results on every computer.</t>
  </si>
  <si>
    <t>Limits</t>
  </si>
  <si>
    <t>One flat cap volatility per maturity (no smile). No business-day calendar. One-factor scenarios: the curve moves in parallel. Mid-market prices: no credit or funding charge.</t>
  </si>
</sst>
</file>

<file path=xl/styles.xml><?xml version="1.0" encoding="utf-8"?>
<styleSheet xmlns="http://schemas.openxmlformats.org/spreadsheetml/2006/main">
  <numFmts count="8">
    <numFmt numFmtId="164" formatCode="#,##0"/>
    <numFmt numFmtId="165" formatCode="0.00%"/>
    <numFmt numFmtId="166" formatCode="0.0"/>
    <numFmt numFmtId="167" formatCode="0%"/>
    <numFmt numFmtId="168" formatCode="0.000%"/>
    <numFmt numFmtId="169" formatCode="yyyy-mm-dd"/>
    <numFmt numFmtId="170" formatCode="0.0000"/>
    <numFmt numFmtId="171" formatCode="0.000000"/>
  </numFmts>
  <fonts count="9">
    <font>
      <sz val="11"/>
      <color theme="1"/>
      <name val="Calibri"/>
      <family val="2"/>
      <scheme val="minor"/>
    </font>
    <font>
      <b/>
      <sz val="18"/>
      <color rgb="FF14325C"/>
      <name val="Calibri"/>
      <family val="2"/>
      <scheme val="minor"/>
    </font>
    <font>
      <i/>
      <sz val="11"/>
      <color rgb="FF52514E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B0B0B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rgb="FF14325C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14325C"/>
        <bgColor indexed="64"/>
      </patternFill>
    </fill>
    <fill>
      <patternFill patternType="solid">
        <fgColor rgb="FFFFF6D5"/>
        <bgColor indexed="64"/>
      </patternFill>
    </fill>
    <fill>
      <patternFill patternType="solid">
        <fgColor rgb="FF5B6B80"/>
        <bgColor indexed="64"/>
      </patternFill>
    </fill>
    <fill>
      <patternFill patternType="solid">
        <fgColor rgb="FFEEF3FA"/>
        <bgColor indexed="64"/>
      </patternFill>
    </fill>
    <fill>
      <patternFill patternType="solid">
        <fgColor rgb="FFF3F3F1"/>
        <bgColor indexed="64"/>
      </patternFill>
    </fill>
  </fills>
  <borders count="6">
    <border>
      <left/>
      <right/>
      <top/>
      <bottom/>
      <diagonal/>
    </border>
    <border>
      <left style="thin">
        <color rgb="FFD9C27A"/>
      </left>
      <right style="thin">
        <color rgb="FFD9C27A"/>
      </right>
      <top style="thin">
        <color rgb="FFD9C27A"/>
      </top>
      <bottom style="thin">
        <color rgb="FFD9C27A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9D6EA"/>
      </left>
      <right style="thin">
        <color rgb="FFC9D6EA"/>
      </right>
      <top style="thin">
        <color rgb="FFC9D6EA"/>
      </top>
      <bottom style="thin">
        <color rgb="FFC9D6EA"/>
      </bottom>
      <diagonal/>
    </border>
    <border>
      <left style="thin">
        <color rgb="FFD6D5D0"/>
      </left>
      <right style="thin">
        <color rgb="FFD6D5D0"/>
      </right>
      <top style="thin">
        <color rgb="FFD6D5D0"/>
      </top>
      <bottom style="thin">
        <color rgb="FFD6D5D0"/>
      </bottom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0" xfId="0" applyFont="1" applyFill="1"/>
    <xf numFmtId="0" fontId="2" fillId="0" borderId="0" xfId="0" applyFont="1" applyAlignment="1">
      <alignment vertical="top" wrapText="1"/>
    </xf>
    <xf numFmtId="0" fontId="4" fillId="0" borderId="0" xfId="0" applyFont="1"/>
    <xf numFmtId="164" fontId="5" fillId="3" borderId="1" xfId="0" applyNumberFormat="1" applyFont="1" applyFill="1" applyBorder="1"/>
    <xf numFmtId="165" fontId="5" fillId="3" borderId="1" xfId="0" applyNumberFormat="1" applyFont="1" applyFill="1" applyBorder="1"/>
    <xf numFmtId="0" fontId="5" fillId="3" borderId="1" xfId="0" applyFont="1" applyFill="1" applyBorder="1" applyAlignment="1">
      <alignment horizontal="left"/>
    </xf>
    <xf numFmtId="0" fontId="3" fillId="2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6" fillId="0" borderId="3" xfId="0" applyFont="1" applyBorder="1"/>
    <xf numFmtId="0" fontId="0" fillId="0" borderId="3" xfId="0" applyBorder="1"/>
    <xf numFmtId="164" fontId="0" fillId="5" borderId="3" xfId="0" applyNumberFormat="1" applyFill="1" applyBorder="1"/>
    <xf numFmtId="166" fontId="0" fillId="5" borderId="3" xfId="0" applyNumberFormat="1" applyFill="1" applyBorder="1"/>
    <xf numFmtId="165" fontId="0" fillId="6" borderId="4" xfId="0" applyNumberFormat="1" applyFill="1" applyBorder="1"/>
    <xf numFmtId="167" fontId="0" fillId="6" borderId="4" xfId="0" applyNumberFormat="1" applyFill="1" applyBorder="1"/>
    <xf numFmtId="167" fontId="5" fillId="3" borderId="1" xfId="0" applyNumberFormat="1" applyFont="1" applyFill="1" applyBorder="1"/>
    <xf numFmtId="168" fontId="0" fillId="5" borderId="3" xfId="0" applyNumberFormat="1" applyFill="1" applyBorder="1"/>
    <xf numFmtId="0" fontId="7" fillId="0" borderId="0" xfId="0" applyFont="1"/>
    <xf numFmtId="0" fontId="8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1" fontId="0" fillId="0" borderId="0" xfId="0" applyNumberFormat="1"/>
    <xf numFmtId="169" fontId="0" fillId="0" borderId="0" xfId="0" applyNumberFormat="1"/>
    <xf numFmtId="170" fontId="0" fillId="0" borderId="0" xfId="0" applyNumberFormat="1"/>
    <xf numFmtId="164" fontId="0" fillId="0" borderId="0" xfId="0" applyNumberFormat="1"/>
    <xf numFmtId="168" fontId="0" fillId="0" borderId="0" xfId="0" applyNumberFormat="1"/>
    <xf numFmtId="171" fontId="0" fillId="0" borderId="0" xfId="0" applyNumberFormat="1"/>
    <xf numFmtId="164" fontId="6" fillId="0" borderId="5" xfId="0" applyNumberFormat="1" applyFont="1" applyBorder="1"/>
    <xf numFmtId="165" fontId="0" fillId="0" borderId="0" xfId="0" applyNumberFormat="1"/>
    <xf numFmtId="167" fontId="0" fillId="0" borderId="0" xfId="0" applyNumberFormat="1"/>
    <xf numFmtId="166" fontId="0" fillId="0" borderId="0" xfId="0" applyNumberFormat="1"/>
    <xf numFmtId="169" fontId="5" fillId="3" borderId="1" xfId="0" applyNumberFormat="1" applyFont="1" applyFill="1" applyBorder="1" applyAlignment="1">
      <alignment horizontal="left"/>
    </xf>
    <xf numFmtId="168" fontId="5" fillId="3" borderId="1" xfId="0" applyNumberFormat="1" applyFont="1" applyFill="1" applyBorder="1"/>
    <xf numFmtId="1" fontId="5" fillId="3" borderId="1" xfId="0" applyNumberFormat="1" applyFont="1" applyFill="1" applyBorder="1"/>
  </cellXfs>
  <cellStyles count="1">
    <cellStyle name="Normal" xfId="0" builtinId="0"/>
  </cellStyles>
  <dxfs count="1">
    <dxf>
      <font>
        <color rgb="FFB5B4AE"/>
      </font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baseline="0"/>
            </a:pPr>
            <a:r>
              <a:rPr lang="en-US" sz="1200" b="1" baseline="0"/>
              <a:t>All-in cost of the loan if rates move and stay there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v>Unhedged</c:v>
          </c:tx>
          <c:spPr>
            <a:ln w="19050">
              <a:solidFill>
                <a:srgbClr val="8A8985"/>
              </a:solidFill>
              <a:prstDash val="dash"/>
            </a:ln>
          </c:spPr>
          <c:marker>
            <c:symbol val="none"/>
          </c:marker>
          <c:xVal>
            <c:numRef>
              <c:f>Scenarios!$A$3:$A$31</c:f>
              <c:numCache>
                <c:formatCode>General</c:formatCode>
                <c:ptCount val="29"/>
                <c:pt idx="0">
                  <c:v>-300</c:v>
                </c:pt>
                <c:pt idx="1">
                  <c:v>-275</c:v>
                </c:pt>
                <c:pt idx="2">
                  <c:v>-250</c:v>
                </c:pt>
                <c:pt idx="3">
                  <c:v>-225</c:v>
                </c:pt>
                <c:pt idx="4">
                  <c:v>-200</c:v>
                </c:pt>
                <c:pt idx="5">
                  <c:v>-175</c:v>
                </c:pt>
                <c:pt idx="6">
                  <c:v>-150</c:v>
                </c:pt>
                <c:pt idx="7">
                  <c:v>-125</c:v>
                </c:pt>
                <c:pt idx="8">
                  <c:v>-100</c:v>
                </c:pt>
                <c:pt idx="9">
                  <c:v>-75</c:v>
                </c:pt>
                <c:pt idx="10">
                  <c:v>-50</c:v>
                </c:pt>
                <c:pt idx="11">
                  <c:v>-25</c:v>
                </c:pt>
                <c:pt idx="12">
                  <c:v>0</c:v>
                </c:pt>
                <c:pt idx="13">
                  <c:v>25</c:v>
                </c:pt>
                <c:pt idx="14">
                  <c:v>50</c:v>
                </c:pt>
                <c:pt idx="15">
                  <c:v>75</c:v>
                </c:pt>
                <c:pt idx="16">
                  <c:v>100</c:v>
                </c:pt>
                <c:pt idx="17">
                  <c:v>125</c:v>
                </c:pt>
                <c:pt idx="18">
                  <c:v>150</c:v>
                </c:pt>
                <c:pt idx="19">
                  <c:v>175</c:v>
                </c:pt>
                <c:pt idx="20">
                  <c:v>200</c:v>
                </c:pt>
                <c:pt idx="21">
                  <c:v>225</c:v>
                </c:pt>
                <c:pt idx="22">
                  <c:v>250</c:v>
                </c:pt>
                <c:pt idx="23">
                  <c:v>275</c:v>
                </c:pt>
                <c:pt idx="24">
                  <c:v>300</c:v>
                </c:pt>
                <c:pt idx="25">
                  <c:v>325</c:v>
                </c:pt>
                <c:pt idx="26">
                  <c:v>350</c:v>
                </c:pt>
                <c:pt idx="27">
                  <c:v>375</c:v>
                </c:pt>
                <c:pt idx="28">
                  <c:v>400</c:v>
                </c:pt>
              </c:numCache>
            </c:numRef>
          </c:xVal>
          <c:yVal>
            <c:numRef>
              <c:f>Scenarios!$C$3:$C$31</c:f>
              <c:numCache>
                <c:formatCode>General</c:formatCode>
                <c:ptCount val="29"/>
                <c:pt idx="0">
                  <c:v>0.0160227820372399</c:v>
                </c:pt>
                <c:pt idx="1">
                  <c:v>0.0160227820372399</c:v>
                </c:pt>
                <c:pt idx="2">
                  <c:v>0.0161176765853225</c:v>
                </c:pt>
                <c:pt idx="3">
                  <c:v>0.0170371740880624</c:v>
                </c:pt>
                <c:pt idx="4">
                  <c:v>0.0186977042471822</c:v>
                </c:pt>
                <c:pt idx="5">
                  <c:v>0.0210329219074546</c:v>
                </c:pt>
                <c:pt idx="6">
                  <c:v>0.0234069635284842</c:v>
                </c:pt>
                <c:pt idx="7">
                  <c:v>0.0257810051495137</c:v>
                </c:pt>
                <c:pt idx="8">
                  <c:v>0.0281550467705433</c:v>
                </c:pt>
                <c:pt idx="9">
                  <c:v>0.0305290883915729</c:v>
                </c:pt>
                <c:pt idx="10">
                  <c:v>0.0329031300126025</c:v>
                </c:pt>
                <c:pt idx="11">
                  <c:v>0.035277171633632</c:v>
                </c:pt>
                <c:pt idx="12">
                  <c:v>0.0376512132546616</c:v>
                </c:pt>
                <c:pt idx="13">
                  <c:v>0.0400252548756912</c:v>
                </c:pt>
                <c:pt idx="14">
                  <c:v>0.0423992964967208</c:v>
                </c:pt>
                <c:pt idx="15">
                  <c:v>0.0447733381177503</c:v>
                </c:pt>
                <c:pt idx="16">
                  <c:v>0.0471473797387799</c:v>
                </c:pt>
                <c:pt idx="17">
                  <c:v>0.0495214213598095</c:v>
                </c:pt>
                <c:pt idx="18">
                  <c:v>0.051895462980839</c:v>
                </c:pt>
                <c:pt idx="19">
                  <c:v>0.0542695046018686</c:v>
                </c:pt>
                <c:pt idx="20">
                  <c:v>0.0566435462228982</c:v>
                </c:pt>
                <c:pt idx="21">
                  <c:v>0.0590175878439278</c:v>
                </c:pt>
                <c:pt idx="22">
                  <c:v>0.0613916294649573</c:v>
                </c:pt>
                <c:pt idx="23">
                  <c:v>0.0637656710859869</c:v>
                </c:pt>
                <c:pt idx="24">
                  <c:v>0.0661397127070165</c:v>
                </c:pt>
                <c:pt idx="25">
                  <c:v>0.068513754328046</c:v>
                </c:pt>
                <c:pt idx="26">
                  <c:v>0.0708877959490756</c:v>
                </c:pt>
                <c:pt idx="27">
                  <c:v>0.0732618375701052</c:v>
                </c:pt>
                <c:pt idx="28">
                  <c:v>0.0756358791911348</c:v>
                </c:pt>
              </c:numCache>
            </c:numRef>
          </c:yVal>
        </c:ser>
        <c:ser>
          <c:idx val="1"/>
          <c:order val="1"/>
          <c:tx>
            <c:v>Payer swap</c:v>
          </c:tx>
          <c:spPr>
            <a:ln w="28575">
              <a:solidFill>
                <a:srgbClr val="2A78D6"/>
              </a:solidFill>
              <a:prstDash val="solid"/>
            </a:ln>
          </c:spPr>
          <c:marker>
            <c:symbol val="none"/>
          </c:marker>
          <c:xVal>
            <c:numRef>
              <c:f>Scenarios!$A$3:$A$31</c:f>
              <c:numCache>
                <c:formatCode>General</c:formatCode>
                <c:ptCount val="29"/>
                <c:pt idx="0">
                  <c:v>-300</c:v>
                </c:pt>
                <c:pt idx="1">
                  <c:v>-275</c:v>
                </c:pt>
                <c:pt idx="2">
                  <c:v>-250</c:v>
                </c:pt>
                <c:pt idx="3">
                  <c:v>-225</c:v>
                </c:pt>
                <c:pt idx="4">
                  <c:v>-200</c:v>
                </c:pt>
                <c:pt idx="5">
                  <c:v>-175</c:v>
                </c:pt>
                <c:pt idx="6">
                  <c:v>-150</c:v>
                </c:pt>
                <c:pt idx="7">
                  <c:v>-125</c:v>
                </c:pt>
                <c:pt idx="8">
                  <c:v>-100</c:v>
                </c:pt>
                <c:pt idx="9">
                  <c:v>-75</c:v>
                </c:pt>
                <c:pt idx="10">
                  <c:v>-50</c:v>
                </c:pt>
                <c:pt idx="11">
                  <c:v>-25</c:v>
                </c:pt>
                <c:pt idx="12">
                  <c:v>0</c:v>
                </c:pt>
                <c:pt idx="13">
                  <c:v>25</c:v>
                </c:pt>
                <c:pt idx="14">
                  <c:v>50</c:v>
                </c:pt>
                <c:pt idx="15">
                  <c:v>75</c:v>
                </c:pt>
                <c:pt idx="16">
                  <c:v>100</c:v>
                </c:pt>
                <c:pt idx="17">
                  <c:v>125</c:v>
                </c:pt>
                <c:pt idx="18">
                  <c:v>150</c:v>
                </c:pt>
                <c:pt idx="19">
                  <c:v>175</c:v>
                </c:pt>
                <c:pt idx="20">
                  <c:v>200</c:v>
                </c:pt>
                <c:pt idx="21">
                  <c:v>225</c:v>
                </c:pt>
                <c:pt idx="22">
                  <c:v>250</c:v>
                </c:pt>
                <c:pt idx="23">
                  <c:v>275</c:v>
                </c:pt>
                <c:pt idx="24">
                  <c:v>300</c:v>
                </c:pt>
                <c:pt idx="25">
                  <c:v>325</c:v>
                </c:pt>
                <c:pt idx="26">
                  <c:v>350</c:v>
                </c:pt>
                <c:pt idx="27">
                  <c:v>375</c:v>
                </c:pt>
                <c:pt idx="28">
                  <c:v>400</c:v>
                </c:pt>
              </c:numCache>
            </c:numRef>
          </c:xVal>
          <c:yVal>
            <c:numRef>
              <c:f>Scenarios!$D$3:$D$31</c:f>
              <c:numCache>
                <c:formatCode>General</c:formatCode>
                <c:ptCount val="29"/>
                <c:pt idx="0">
                  <c:v>0.0444472720588469</c:v>
                </c:pt>
                <c:pt idx="1">
                  <c:v>0.0420732304378174</c:v>
                </c:pt>
                <c:pt idx="2">
                  <c:v>0.0397940833648704</c:v>
                </c:pt>
                <c:pt idx="3">
                  <c:v>0.0383395392465808</c:v>
                </c:pt>
                <c:pt idx="4">
                  <c:v>0.037626027784671</c:v>
                </c:pt>
                <c:pt idx="5">
                  <c:v>0.0375872038239138</c:v>
                </c:pt>
                <c:pt idx="6">
                  <c:v>0.0375872038239138</c:v>
                </c:pt>
                <c:pt idx="7">
                  <c:v>0.0375872038239138</c:v>
                </c:pt>
                <c:pt idx="8">
                  <c:v>0.0375872038239138</c:v>
                </c:pt>
                <c:pt idx="9">
                  <c:v>0.0375872038239138</c:v>
                </c:pt>
                <c:pt idx="10">
                  <c:v>0.0375872038239138</c:v>
                </c:pt>
                <c:pt idx="11">
                  <c:v>0.0375872038239138</c:v>
                </c:pt>
                <c:pt idx="12">
                  <c:v>0.0375872038239138</c:v>
                </c:pt>
                <c:pt idx="13">
                  <c:v>0.0375872038239138</c:v>
                </c:pt>
                <c:pt idx="14">
                  <c:v>0.0375872038239138</c:v>
                </c:pt>
                <c:pt idx="15">
                  <c:v>0.0375872038239138</c:v>
                </c:pt>
                <c:pt idx="16">
                  <c:v>0.0375872038239138</c:v>
                </c:pt>
                <c:pt idx="17">
                  <c:v>0.0375872038239138</c:v>
                </c:pt>
                <c:pt idx="18">
                  <c:v>0.0375872038239138</c:v>
                </c:pt>
                <c:pt idx="19">
                  <c:v>0.0375872038239138</c:v>
                </c:pt>
                <c:pt idx="20">
                  <c:v>0.0375872038239138</c:v>
                </c:pt>
                <c:pt idx="21">
                  <c:v>0.0375872038239138</c:v>
                </c:pt>
                <c:pt idx="22">
                  <c:v>0.0375872038239138</c:v>
                </c:pt>
                <c:pt idx="23">
                  <c:v>0.0375872038239138</c:v>
                </c:pt>
                <c:pt idx="24">
                  <c:v>0.0375872038239138</c:v>
                </c:pt>
                <c:pt idx="25">
                  <c:v>0.0375872038239138</c:v>
                </c:pt>
                <c:pt idx="26">
                  <c:v>0.0375872038239138</c:v>
                </c:pt>
                <c:pt idx="27">
                  <c:v>0.0375872038239138</c:v>
                </c:pt>
                <c:pt idx="28">
                  <c:v>0.0375872038239138</c:v>
                </c:pt>
              </c:numCache>
            </c:numRef>
          </c:yVal>
        </c:ser>
        <c:ser>
          <c:idx val="2"/>
          <c:order val="2"/>
          <c:tx>
            <c:v>Floored payer swap</c:v>
          </c:tx>
          <c:spPr>
            <a:ln w="28575">
              <a:solidFill>
                <a:srgbClr val="7A4FC9"/>
              </a:solidFill>
              <a:prstDash val="solid"/>
            </a:ln>
          </c:spPr>
          <c:marker>
            <c:symbol val="none"/>
          </c:marker>
          <c:xVal>
            <c:numRef>
              <c:f>Scenarios!$A$3:$A$31</c:f>
              <c:numCache>
                <c:formatCode>General</c:formatCode>
                <c:ptCount val="29"/>
                <c:pt idx="0">
                  <c:v>-300</c:v>
                </c:pt>
                <c:pt idx="1">
                  <c:v>-275</c:v>
                </c:pt>
                <c:pt idx="2">
                  <c:v>-250</c:v>
                </c:pt>
                <c:pt idx="3">
                  <c:v>-225</c:v>
                </c:pt>
                <c:pt idx="4">
                  <c:v>-200</c:v>
                </c:pt>
                <c:pt idx="5">
                  <c:v>-175</c:v>
                </c:pt>
                <c:pt idx="6">
                  <c:v>-150</c:v>
                </c:pt>
                <c:pt idx="7">
                  <c:v>-125</c:v>
                </c:pt>
                <c:pt idx="8">
                  <c:v>-100</c:v>
                </c:pt>
                <c:pt idx="9">
                  <c:v>-75</c:v>
                </c:pt>
                <c:pt idx="10">
                  <c:v>-50</c:v>
                </c:pt>
                <c:pt idx="11">
                  <c:v>-25</c:v>
                </c:pt>
                <c:pt idx="12">
                  <c:v>0</c:v>
                </c:pt>
                <c:pt idx="13">
                  <c:v>25</c:v>
                </c:pt>
                <c:pt idx="14">
                  <c:v>50</c:v>
                </c:pt>
                <c:pt idx="15">
                  <c:v>75</c:v>
                </c:pt>
                <c:pt idx="16">
                  <c:v>100</c:v>
                </c:pt>
                <c:pt idx="17">
                  <c:v>125</c:v>
                </c:pt>
                <c:pt idx="18">
                  <c:v>150</c:v>
                </c:pt>
                <c:pt idx="19">
                  <c:v>175</c:v>
                </c:pt>
                <c:pt idx="20">
                  <c:v>200</c:v>
                </c:pt>
                <c:pt idx="21">
                  <c:v>225</c:v>
                </c:pt>
                <c:pt idx="22">
                  <c:v>250</c:v>
                </c:pt>
                <c:pt idx="23">
                  <c:v>275</c:v>
                </c:pt>
                <c:pt idx="24">
                  <c:v>300</c:v>
                </c:pt>
                <c:pt idx="25">
                  <c:v>325</c:v>
                </c:pt>
                <c:pt idx="26">
                  <c:v>350</c:v>
                </c:pt>
                <c:pt idx="27">
                  <c:v>375</c:v>
                </c:pt>
                <c:pt idx="28">
                  <c:v>400</c:v>
                </c:pt>
              </c:numCache>
            </c:numRef>
          </c:xVal>
          <c:yVal>
            <c:numRef>
              <c:f>Scenarios!$E$3:$E$31</c:f>
              <c:numCache>
                <c:formatCode>General</c:formatCode>
                <c:ptCount val="29"/>
                <c:pt idx="0">
                  <c:v>0.0377663930523971</c:v>
                </c:pt>
                <c:pt idx="1">
                  <c:v>0.0377663930523971</c:v>
                </c:pt>
                <c:pt idx="2">
                  <c:v>0.0377663930523971</c:v>
                </c:pt>
                <c:pt idx="3">
                  <c:v>0.0377663930523971</c:v>
                </c:pt>
                <c:pt idx="4">
                  <c:v>0.0377663930523971</c:v>
                </c:pt>
                <c:pt idx="5">
                  <c:v>0.0377663930523971</c:v>
                </c:pt>
                <c:pt idx="6">
                  <c:v>0.0377663930523971</c:v>
                </c:pt>
                <c:pt idx="7">
                  <c:v>0.0377663930523971</c:v>
                </c:pt>
                <c:pt idx="8">
                  <c:v>0.0377663930523971</c:v>
                </c:pt>
                <c:pt idx="9">
                  <c:v>0.0377663930523971</c:v>
                </c:pt>
                <c:pt idx="10">
                  <c:v>0.0377663930523971</c:v>
                </c:pt>
                <c:pt idx="11">
                  <c:v>0.0377663930523971</c:v>
                </c:pt>
                <c:pt idx="12">
                  <c:v>0.0377663930523971</c:v>
                </c:pt>
                <c:pt idx="13">
                  <c:v>0.0377663930523971</c:v>
                </c:pt>
                <c:pt idx="14">
                  <c:v>0.0377663930523971</c:v>
                </c:pt>
                <c:pt idx="15">
                  <c:v>0.0377663930523971</c:v>
                </c:pt>
                <c:pt idx="16">
                  <c:v>0.0377663930523971</c:v>
                </c:pt>
                <c:pt idx="17">
                  <c:v>0.0377663930523971</c:v>
                </c:pt>
                <c:pt idx="18">
                  <c:v>0.0377663930523971</c:v>
                </c:pt>
                <c:pt idx="19">
                  <c:v>0.0377663930523971</c:v>
                </c:pt>
                <c:pt idx="20">
                  <c:v>0.0377663930523971</c:v>
                </c:pt>
                <c:pt idx="21">
                  <c:v>0.0377663930523971</c:v>
                </c:pt>
                <c:pt idx="22">
                  <c:v>0.0377663930523971</c:v>
                </c:pt>
                <c:pt idx="23">
                  <c:v>0.0377663930523971</c:v>
                </c:pt>
                <c:pt idx="24">
                  <c:v>0.0377663930523971</c:v>
                </c:pt>
                <c:pt idx="25">
                  <c:v>0.0377663930523971</c:v>
                </c:pt>
                <c:pt idx="26">
                  <c:v>0.0377663930523971</c:v>
                </c:pt>
                <c:pt idx="27">
                  <c:v>0.0377663930523971</c:v>
                </c:pt>
                <c:pt idx="28">
                  <c:v>0.0377663930523971</c:v>
                </c:pt>
              </c:numCache>
            </c:numRef>
          </c:yVal>
        </c:ser>
        <c:ser>
          <c:idx val="3"/>
          <c:order val="3"/>
          <c:tx>
            <c:v>Cap</c:v>
          </c:tx>
          <c:spPr>
            <a:ln w="28575">
              <a:solidFill>
                <a:srgbClr val="EB6834"/>
              </a:solidFill>
              <a:prstDash val="solid"/>
            </a:ln>
          </c:spPr>
          <c:marker>
            <c:symbol val="none"/>
          </c:marker>
          <c:xVal>
            <c:numRef>
              <c:f>Scenarios!$A$3:$A$31</c:f>
              <c:numCache>
                <c:formatCode>General</c:formatCode>
                <c:ptCount val="29"/>
                <c:pt idx="0">
                  <c:v>-300</c:v>
                </c:pt>
                <c:pt idx="1">
                  <c:v>-275</c:v>
                </c:pt>
                <c:pt idx="2">
                  <c:v>-250</c:v>
                </c:pt>
                <c:pt idx="3">
                  <c:v>-225</c:v>
                </c:pt>
                <c:pt idx="4">
                  <c:v>-200</c:v>
                </c:pt>
                <c:pt idx="5">
                  <c:v>-175</c:v>
                </c:pt>
                <c:pt idx="6">
                  <c:v>-150</c:v>
                </c:pt>
                <c:pt idx="7">
                  <c:v>-125</c:v>
                </c:pt>
                <c:pt idx="8">
                  <c:v>-100</c:v>
                </c:pt>
                <c:pt idx="9">
                  <c:v>-75</c:v>
                </c:pt>
                <c:pt idx="10">
                  <c:v>-50</c:v>
                </c:pt>
                <c:pt idx="11">
                  <c:v>-25</c:v>
                </c:pt>
                <c:pt idx="12">
                  <c:v>0</c:v>
                </c:pt>
                <c:pt idx="13">
                  <c:v>25</c:v>
                </c:pt>
                <c:pt idx="14">
                  <c:v>50</c:v>
                </c:pt>
                <c:pt idx="15">
                  <c:v>75</c:v>
                </c:pt>
                <c:pt idx="16">
                  <c:v>100</c:v>
                </c:pt>
                <c:pt idx="17">
                  <c:v>125</c:v>
                </c:pt>
                <c:pt idx="18">
                  <c:v>150</c:v>
                </c:pt>
                <c:pt idx="19">
                  <c:v>175</c:v>
                </c:pt>
                <c:pt idx="20">
                  <c:v>200</c:v>
                </c:pt>
                <c:pt idx="21">
                  <c:v>225</c:v>
                </c:pt>
                <c:pt idx="22">
                  <c:v>250</c:v>
                </c:pt>
                <c:pt idx="23">
                  <c:v>275</c:v>
                </c:pt>
                <c:pt idx="24">
                  <c:v>300</c:v>
                </c:pt>
                <c:pt idx="25">
                  <c:v>325</c:v>
                </c:pt>
                <c:pt idx="26">
                  <c:v>350</c:v>
                </c:pt>
                <c:pt idx="27">
                  <c:v>375</c:v>
                </c:pt>
                <c:pt idx="28">
                  <c:v>400</c:v>
                </c:pt>
              </c:numCache>
            </c:numRef>
          </c:xVal>
          <c:yVal>
            <c:numRef>
              <c:f>Scenarios!$F$3:$F$31</c:f>
              <c:numCache>
                <c:formatCode>General</c:formatCode>
                <c:ptCount val="29"/>
                <c:pt idx="0">
                  <c:v>0.0181483005266234</c:v>
                </c:pt>
                <c:pt idx="1">
                  <c:v>0.0181483005266234</c:v>
                </c:pt>
                <c:pt idx="2">
                  <c:v>0.018243195074706</c:v>
                </c:pt>
                <c:pt idx="3">
                  <c:v>0.019162692577446</c:v>
                </c:pt>
                <c:pt idx="4">
                  <c:v>0.0208232227365658</c:v>
                </c:pt>
                <c:pt idx="5">
                  <c:v>0.0231584403968381</c:v>
                </c:pt>
                <c:pt idx="6">
                  <c:v>0.0255324820178677</c:v>
                </c:pt>
                <c:pt idx="7">
                  <c:v>0.0279065236388972</c:v>
                </c:pt>
                <c:pt idx="8">
                  <c:v>0.0302805652599268</c:v>
                </c:pt>
                <c:pt idx="9">
                  <c:v>0.0326546068809564</c:v>
                </c:pt>
                <c:pt idx="10">
                  <c:v>0.035028648501986</c:v>
                </c:pt>
                <c:pt idx="11">
                  <c:v>0.0374026901230155</c:v>
                </c:pt>
                <c:pt idx="12">
                  <c:v>0.0397767317440451</c:v>
                </c:pt>
                <c:pt idx="13">
                  <c:v>0.0421507733650747</c:v>
                </c:pt>
                <c:pt idx="14">
                  <c:v>0.0444299204380216</c:v>
                </c:pt>
                <c:pt idx="15">
                  <c:v>0.0458844645563113</c:v>
                </c:pt>
                <c:pt idx="16">
                  <c:v>0.046597976018221</c:v>
                </c:pt>
                <c:pt idx="17">
                  <c:v>0.0466367999789782</c:v>
                </c:pt>
                <c:pt idx="18">
                  <c:v>0.0466367999789782</c:v>
                </c:pt>
                <c:pt idx="19">
                  <c:v>0.0466367999789782</c:v>
                </c:pt>
                <c:pt idx="20">
                  <c:v>0.0466367999789782</c:v>
                </c:pt>
                <c:pt idx="21">
                  <c:v>0.0466367999789782</c:v>
                </c:pt>
                <c:pt idx="22">
                  <c:v>0.0466367999789783</c:v>
                </c:pt>
                <c:pt idx="23">
                  <c:v>0.0466367999789783</c:v>
                </c:pt>
                <c:pt idx="24">
                  <c:v>0.0466367999789783</c:v>
                </c:pt>
                <c:pt idx="25">
                  <c:v>0.0466367999789782</c:v>
                </c:pt>
                <c:pt idx="26">
                  <c:v>0.0466367999789783</c:v>
                </c:pt>
                <c:pt idx="27">
                  <c:v>0.0466367999789782</c:v>
                </c:pt>
                <c:pt idx="28">
                  <c:v>0.0466367999789782</c:v>
                </c:pt>
              </c:numCache>
            </c:numRef>
          </c:yVal>
        </c:ser>
        <c:ser>
          <c:idx val="4"/>
          <c:order val="4"/>
          <c:tx>
            <c:v>Zero-cost collar</c:v>
          </c:tx>
          <c:spPr>
            <a:ln w="28575">
              <a:solidFill>
                <a:srgbClr val="1BAF7A"/>
              </a:solidFill>
              <a:prstDash val="solid"/>
            </a:ln>
          </c:spPr>
          <c:marker>
            <c:symbol val="none"/>
          </c:marker>
          <c:xVal>
            <c:numRef>
              <c:f>Scenarios!$A$3:$A$31</c:f>
              <c:numCache>
                <c:formatCode>General</c:formatCode>
                <c:ptCount val="29"/>
                <c:pt idx="0">
                  <c:v>-300</c:v>
                </c:pt>
                <c:pt idx="1">
                  <c:v>-275</c:v>
                </c:pt>
                <c:pt idx="2">
                  <c:v>-250</c:v>
                </c:pt>
                <c:pt idx="3">
                  <c:v>-225</c:v>
                </c:pt>
                <c:pt idx="4">
                  <c:v>-200</c:v>
                </c:pt>
                <c:pt idx="5">
                  <c:v>-175</c:v>
                </c:pt>
                <c:pt idx="6">
                  <c:v>-150</c:v>
                </c:pt>
                <c:pt idx="7">
                  <c:v>-125</c:v>
                </c:pt>
                <c:pt idx="8">
                  <c:v>-100</c:v>
                </c:pt>
                <c:pt idx="9">
                  <c:v>-75</c:v>
                </c:pt>
                <c:pt idx="10">
                  <c:v>-50</c:v>
                </c:pt>
                <c:pt idx="11">
                  <c:v>-25</c:v>
                </c:pt>
                <c:pt idx="12">
                  <c:v>0</c:v>
                </c:pt>
                <c:pt idx="13">
                  <c:v>25</c:v>
                </c:pt>
                <c:pt idx="14">
                  <c:v>50</c:v>
                </c:pt>
                <c:pt idx="15">
                  <c:v>75</c:v>
                </c:pt>
                <c:pt idx="16">
                  <c:v>100</c:v>
                </c:pt>
                <c:pt idx="17">
                  <c:v>125</c:v>
                </c:pt>
                <c:pt idx="18">
                  <c:v>150</c:v>
                </c:pt>
                <c:pt idx="19">
                  <c:v>175</c:v>
                </c:pt>
                <c:pt idx="20">
                  <c:v>200</c:v>
                </c:pt>
                <c:pt idx="21">
                  <c:v>225</c:v>
                </c:pt>
                <c:pt idx="22">
                  <c:v>250</c:v>
                </c:pt>
                <c:pt idx="23">
                  <c:v>275</c:v>
                </c:pt>
                <c:pt idx="24">
                  <c:v>300</c:v>
                </c:pt>
                <c:pt idx="25">
                  <c:v>325</c:v>
                </c:pt>
                <c:pt idx="26">
                  <c:v>350</c:v>
                </c:pt>
                <c:pt idx="27">
                  <c:v>375</c:v>
                </c:pt>
                <c:pt idx="28">
                  <c:v>400</c:v>
                </c:pt>
              </c:numCache>
            </c:numRef>
          </c:xVal>
          <c:yVal>
            <c:numRef>
              <c:f>Scenarios!$G$3:$G$31</c:f>
              <c:numCache>
                <c:formatCode>General</c:formatCode>
                <c:ptCount val="29"/>
                <c:pt idx="0">
                  <c:v>0.0385659413898746</c:v>
                </c:pt>
                <c:pt idx="1">
                  <c:v>0.036191899768845</c:v>
                </c:pt>
                <c:pt idx="2">
                  <c:v>0.0339127526958981</c:v>
                </c:pt>
                <c:pt idx="3">
                  <c:v>0.0324582085776084</c:v>
                </c:pt>
                <c:pt idx="4">
                  <c:v>0.0317446971156987</c:v>
                </c:pt>
                <c:pt idx="5">
                  <c:v>0.0317058731549415</c:v>
                </c:pt>
                <c:pt idx="6">
                  <c:v>0.0317058731549415</c:v>
                </c:pt>
                <c:pt idx="7">
                  <c:v>0.0317058731549415</c:v>
                </c:pt>
                <c:pt idx="8">
                  <c:v>0.0317058731549415</c:v>
                </c:pt>
                <c:pt idx="9">
                  <c:v>0.0320652363370121</c:v>
                </c:pt>
                <c:pt idx="10">
                  <c:v>0.0333108328247424</c:v>
                </c:pt>
                <c:pt idx="11">
                  <c:v>0.035277171633632</c:v>
                </c:pt>
                <c:pt idx="12">
                  <c:v>0.0376512132546616</c:v>
                </c:pt>
                <c:pt idx="13">
                  <c:v>0.0400252548756912</c:v>
                </c:pt>
                <c:pt idx="14">
                  <c:v>0.0423044019486381</c:v>
                </c:pt>
                <c:pt idx="15">
                  <c:v>0.0437589460669278</c:v>
                </c:pt>
                <c:pt idx="16">
                  <c:v>0.0444724575288375</c:v>
                </c:pt>
                <c:pt idx="17">
                  <c:v>0.0445112814895947</c:v>
                </c:pt>
                <c:pt idx="18">
                  <c:v>0.0445112814895947</c:v>
                </c:pt>
                <c:pt idx="19">
                  <c:v>0.0445112814895947</c:v>
                </c:pt>
                <c:pt idx="20">
                  <c:v>0.0445112814895947</c:v>
                </c:pt>
                <c:pt idx="21">
                  <c:v>0.0445112814895947</c:v>
                </c:pt>
                <c:pt idx="22">
                  <c:v>0.0445112814895947</c:v>
                </c:pt>
                <c:pt idx="23">
                  <c:v>0.0445112814895948</c:v>
                </c:pt>
                <c:pt idx="24">
                  <c:v>0.0445112814895947</c:v>
                </c:pt>
                <c:pt idx="25">
                  <c:v>0.0445112814895947</c:v>
                </c:pt>
                <c:pt idx="26">
                  <c:v>0.0445112814895947</c:v>
                </c:pt>
                <c:pt idx="27">
                  <c:v>0.0445112814895947</c:v>
                </c:pt>
                <c:pt idx="28">
                  <c:v>0.0445112814895947</c:v>
                </c:pt>
              </c:numCache>
            </c:numRef>
          </c:yVal>
        </c:ser>
        <c:ser>
          <c:idx val="5"/>
          <c:order val="5"/>
          <c:tx>
            <c:v>Budget</c:v>
          </c:tx>
          <c:spPr>
            <a:ln w="15875">
              <a:solidFill>
                <a:srgbClr val="D03B3B"/>
              </a:solidFill>
              <a:prstDash val="sysDot"/>
            </a:ln>
          </c:spPr>
          <c:marker>
            <c:symbol val="none"/>
          </c:marker>
          <c:xVal>
            <c:numRef>
              <c:f>Scenarios!$A$3:$A$31</c:f>
              <c:numCache>
                <c:formatCode>General</c:formatCode>
                <c:ptCount val="29"/>
                <c:pt idx="0">
                  <c:v>-300</c:v>
                </c:pt>
                <c:pt idx="1">
                  <c:v>-275</c:v>
                </c:pt>
                <c:pt idx="2">
                  <c:v>-250</c:v>
                </c:pt>
                <c:pt idx="3">
                  <c:v>-225</c:v>
                </c:pt>
                <c:pt idx="4">
                  <c:v>-200</c:v>
                </c:pt>
                <c:pt idx="5">
                  <c:v>-175</c:v>
                </c:pt>
                <c:pt idx="6">
                  <c:v>-150</c:v>
                </c:pt>
                <c:pt idx="7">
                  <c:v>-125</c:v>
                </c:pt>
                <c:pt idx="8">
                  <c:v>-100</c:v>
                </c:pt>
                <c:pt idx="9">
                  <c:v>-75</c:v>
                </c:pt>
                <c:pt idx="10">
                  <c:v>-50</c:v>
                </c:pt>
                <c:pt idx="11">
                  <c:v>-25</c:v>
                </c:pt>
                <c:pt idx="12">
                  <c:v>0</c:v>
                </c:pt>
                <c:pt idx="13">
                  <c:v>25</c:v>
                </c:pt>
                <c:pt idx="14">
                  <c:v>50</c:v>
                </c:pt>
                <c:pt idx="15">
                  <c:v>75</c:v>
                </c:pt>
                <c:pt idx="16">
                  <c:v>100</c:v>
                </c:pt>
                <c:pt idx="17">
                  <c:v>125</c:v>
                </c:pt>
                <c:pt idx="18">
                  <c:v>150</c:v>
                </c:pt>
                <c:pt idx="19">
                  <c:v>175</c:v>
                </c:pt>
                <c:pt idx="20">
                  <c:v>200</c:v>
                </c:pt>
                <c:pt idx="21">
                  <c:v>225</c:v>
                </c:pt>
                <c:pt idx="22">
                  <c:v>250</c:v>
                </c:pt>
                <c:pt idx="23">
                  <c:v>275</c:v>
                </c:pt>
                <c:pt idx="24">
                  <c:v>300</c:v>
                </c:pt>
                <c:pt idx="25">
                  <c:v>325</c:v>
                </c:pt>
                <c:pt idx="26">
                  <c:v>350</c:v>
                </c:pt>
                <c:pt idx="27">
                  <c:v>375</c:v>
                </c:pt>
                <c:pt idx="28">
                  <c:v>400</c:v>
                </c:pt>
              </c:numCache>
            </c:numRef>
          </c:xVal>
          <c:yVal>
            <c:numRef>
              <c:f>Scenarios!$H$3:$H$31</c:f>
              <c:numCache>
                <c:formatCode>General</c:formatCode>
                <c:ptCount val="29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0.04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</c:numCache>
            </c:numRef>
          </c:yVal>
        </c:ser>
        <c:axId val="50010001"/>
        <c:axId val="50010002"/>
      </c:scatterChart>
      <c:valAx>
        <c:axId val="50010001"/>
        <c:scaling>
          <c:orientation val="minMax"/>
          <c:max val="400"/>
          <c:min val="-300"/>
        </c:scaling>
        <c:axPos val="b"/>
        <c:majorGridlines>
          <c:spPr>
            <a:ln>
              <a:solidFill>
                <a:srgbClr val="E6E6E6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Parallel move of the Euribor curve (bp)</a:t>
                </a:r>
              </a:p>
            </c:rich>
          </c:tx>
          <c:layout/>
        </c:title>
        <c:numFmt formatCode="General" sourceLinked="1"/>
        <c:tickLblPos val="nextTo"/>
        <c:crossAx val="50010002"/>
        <c:crosses val="autoZero"/>
        <c:crossBetween val="midCat"/>
        <c:majorUnit val="100"/>
      </c:valAx>
      <c:valAx>
        <c:axId val="50010002"/>
        <c:scaling>
          <c:orientation val="minMax"/>
        </c:scaling>
        <c:axPos val="l"/>
        <c:majorGridlines>
          <c:spPr>
            <a:ln>
              <a:solidFill>
                <a:srgbClr val="E6E6E6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All-in cost (% per year)</a:t>
                </a:r>
              </a:p>
            </c:rich>
          </c:tx>
          <c:layout/>
        </c:title>
        <c:numFmt formatCode="0.0%" sourceLinked="0"/>
        <c:tickLblPos val="nextTo"/>
        <c:crossAx val="50010001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baseline="0"/>
            </a:pPr>
            <a:r>
              <a:rPr lang="en-US" sz="1200" b="1" baseline="0"/>
              <a:t>Mark-to-market of the hedge if rates move tomorrow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v>Payer swap</c:v>
          </c:tx>
          <c:spPr>
            <a:ln w="28575">
              <a:solidFill>
                <a:srgbClr val="2A78D6"/>
              </a:solidFill>
            </a:ln>
          </c:spPr>
          <c:marker>
            <c:symbol val="none"/>
          </c:marker>
          <c:xVal>
            <c:numRef>
              <c:f>Risk!$A$18:$A$34</c:f>
              <c:numCache>
                <c:formatCode>General</c:formatCode>
                <c:ptCount val="17"/>
                <c:pt idx="0">
                  <c:v>-200</c:v>
                </c:pt>
                <c:pt idx="1">
                  <c:v>-175</c:v>
                </c:pt>
                <c:pt idx="2">
                  <c:v>-150</c:v>
                </c:pt>
                <c:pt idx="3">
                  <c:v>-125</c:v>
                </c:pt>
                <c:pt idx="4">
                  <c:v>-100</c:v>
                </c:pt>
                <c:pt idx="5">
                  <c:v>-75</c:v>
                </c:pt>
                <c:pt idx="6">
                  <c:v>-50</c:v>
                </c:pt>
                <c:pt idx="7">
                  <c:v>-25</c:v>
                </c:pt>
                <c:pt idx="8">
                  <c:v>0</c:v>
                </c:pt>
                <c:pt idx="9">
                  <c:v>25</c:v>
                </c:pt>
                <c:pt idx="10">
                  <c:v>50</c:v>
                </c:pt>
                <c:pt idx="11">
                  <c:v>75</c:v>
                </c:pt>
                <c:pt idx="12">
                  <c:v>100</c:v>
                </c:pt>
                <c:pt idx="13">
                  <c:v>125</c:v>
                </c:pt>
                <c:pt idx="14">
                  <c:v>150</c:v>
                </c:pt>
                <c:pt idx="15">
                  <c:v>175</c:v>
                </c:pt>
                <c:pt idx="16">
                  <c:v>200</c:v>
                </c:pt>
              </c:numCache>
            </c:numRef>
          </c:xVal>
          <c:yVal>
            <c:numRef>
              <c:f>Risk!$B$18:$B$34</c:f>
              <c:numCache>
                <c:formatCode>General</c:formatCode>
                <c:ptCount val="17"/>
                <c:pt idx="0">
                  <c:v>-4948767.9041476</c:v>
                </c:pt>
                <c:pt idx="1">
                  <c:v>-4297447.60416512</c:v>
                </c:pt>
                <c:pt idx="2">
                  <c:v>-3655805.94588431</c:v>
                </c:pt>
                <c:pt idx="3">
                  <c:v>-3023674.39116625</c:v>
                </c:pt>
                <c:pt idx="4">
                  <c:v>-2400887.75634799</c:v>
                </c:pt>
                <c:pt idx="5">
                  <c:v>-1787284.13722155</c:v>
                </c:pt>
                <c:pt idx="6">
                  <c:v>-1182704.83587385</c:v>
                </c:pt>
                <c:pt idx="7">
                  <c:v>-586994.289337028</c:v>
                </c:pt>
                <c:pt idx="8">
                  <c:v>-2.18278728425503e-10</c:v>
                </c:pt>
                <c:pt idx="9">
                  <c:v>578427.532266936</c:v>
                </c:pt>
                <c:pt idx="10">
                  <c:v>1148434.87632007</c:v>
                </c:pt>
                <c:pt idx="11">
                  <c:v>1710165.73432825</c:v>
                </c:pt>
                <c:pt idx="12">
                  <c:v>2263761.0047804</c:v>
                </c:pt>
                <c:pt idx="13">
                  <c:v>2809358.84395676</c:v>
                </c:pt>
                <c:pt idx="14">
                  <c:v>3347094.72590522</c:v>
                </c:pt>
                <c:pt idx="15">
                  <c:v>3877101.50096247</c:v>
                </c:pt>
                <c:pt idx="16">
                  <c:v>4399509.45285884</c:v>
                </c:pt>
              </c:numCache>
            </c:numRef>
          </c:yVal>
        </c:ser>
        <c:ser>
          <c:idx val="1"/>
          <c:order val="1"/>
          <c:tx>
            <c:v>Floored payer swap</c:v>
          </c:tx>
          <c:spPr>
            <a:ln w="28575">
              <a:solidFill>
                <a:srgbClr val="7A4FC9"/>
              </a:solidFill>
            </a:ln>
          </c:spPr>
          <c:marker>
            <c:symbol val="none"/>
          </c:marker>
          <c:xVal>
            <c:numRef>
              <c:f>Risk!$A$18:$A$34</c:f>
              <c:numCache>
                <c:formatCode>General</c:formatCode>
                <c:ptCount val="17"/>
                <c:pt idx="0">
                  <c:v>-200</c:v>
                </c:pt>
                <c:pt idx="1">
                  <c:v>-175</c:v>
                </c:pt>
                <c:pt idx="2">
                  <c:v>-150</c:v>
                </c:pt>
                <c:pt idx="3">
                  <c:v>-125</c:v>
                </c:pt>
                <c:pt idx="4">
                  <c:v>-100</c:v>
                </c:pt>
                <c:pt idx="5">
                  <c:v>-75</c:v>
                </c:pt>
                <c:pt idx="6">
                  <c:v>-50</c:v>
                </c:pt>
                <c:pt idx="7">
                  <c:v>-25</c:v>
                </c:pt>
                <c:pt idx="8">
                  <c:v>0</c:v>
                </c:pt>
                <c:pt idx="9">
                  <c:v>25</c:v>
                </c:pt>
                <c:pt idx="10">
                  <c:v>50</c:v>
                </c:pt>
                <c:pt idx="11">
                  <c:v>75</c:v>
                </c:pt>
                <c:pt idx="12">
                  <c:v>100</c:v>
                </c:pt>
                <c:pt idx="13">
                  <c:v>125</c:v>
                </c:pt>
                <c:pt idx="14">
                  <c:v>150</c:v>
                </c:pt>
                <c:pt idx="15">
                  <c:v>175</c:v>
                </c:pt>
                <c:pt idx="16">
                  <c:v>200</c:v>
                </c:pt>
              </c:numCache>
            </c:numRef>
          </c:xVal>
          <c:yVal>
            <c:numRef>
              <c:f>Risk!$C$18:$C$34</c:f>
              <c:numCache>
                <c:formatCode>General</c:formatCode>
                <c:ptCount val="17"/>
                <c:pt idx="0">
                  <c:v>-4191892.74099639</c:v>
                </c:pt>
                <c:pt idx="1">
                  <c:v>-3758954.22137723</c:v>
                </c:pt>
                <c:pt idx="2">
                  <c:v>-3282954.48215056</c:v>
                </c:pt>
                <c:pt idx="3">
                  <c:v>-2773245.9719065</c:v>
                </c:pt>
                <c:pt idx="4">
                  <c:v>-2239381.81942636</c:v>
                </c:pt>
                <c:pt idx="5">
                  <c:v>-1689460.07130572</c:v>
                </c:pt>
                <c:pt idx="6">
                  <c:v>-1129862.19666629</c:v>
                </c:pt>
                <c:pt idx="7">
                  <c:v>-565482.443214502</c:v>
                </c:pt>
                <c:pt idx="8">
                  <c:v>-5.74800651520491e-10</c:v>
                </c:pt>
                <c:pt idx="9">
                  <c:v>563877.671939272</c:v>
                </c:pt>
                <c:pt idx="10">
                  <c:v>1124202.08150974</c:v>
                </c:pt>
                <c:pt idx="11">
                  <c:v>1679604.65417433</c:v>
                </c:pt>
                <c:pt idx="12">
                  <c:v>2229151.42411736</c:v>
                </c:pt>
                <c:pt idx="13">
                  <c:v>2772228.19423388</c:v>
                </c:pt>
                <c:pt idx="14">
                  <c:v>3308451.77410626</c:v>
                </c:pt>
                <c:pt idx="15">
                  <c:v>3837602.8092953</c:v>
                </c:pt>
                <c:pt idx="16">
                  <c:v>4359575.98187446</c:v>
                </c:pt>
              </c:numCache>
            </c:numRef>
          </c:yVal>
        </c:ser>
        <c:ser>
          <c:idx val="2"/>
          <c:order val="2"/>
          <c:tx>
            <c:v>Cap</c:v>
          </c:tx>
          <c:spPr>
            <a:ln w="28575">
              <a:solidFill>
                <a:srgbClr val="EB6834"/>
              </a:solidFill>
            </a:ln>
          </c:spPr>
          <c:marker>
            <c:symbol val="none"/>
          </c:marker>
          <c:xVal>
            <c:numRef>
              <c:f>Risk!$A$18:$A$34</c:f>
              <c:numCache>
                <c:formatCode>General</c:formatCode>
                <c:ptCount val="17"/>
                <c:pt idx="0">
                  <c:v>-200</c:v>
                </c:pt>
                <c:pt idx="1">
                  <c:v>-175</c:v>
                </c:pt>
                <c:pt idx="2">
                  <c:v>-150</c:v>
                </c:pt>
                <c:pt idx="3">
                  <c:v>-125</c:v>
                </c:pt>
                <c:pt idx="4">
                  <c:v>-100</c:v>
                </c:pt>
                <c:pt idx="5">
                  <c:v>-75</c:v>
                </c:pt>
                <c:pt idx="6">
                  <c:v>-50</c:v>
                </c:pt>
                <c:pt idx="7">
                  <c:v>-25</c:v>
                </c:pt>
                <c:pt idx="8">
                  <c:v>0</c:v>
                </c:pt>
                <c:pt idx="9">
                  <c:v>25</c:v>
                </c:pt>
                <c:pt idx="10">
                  <c:v>50</c:v>
                </c:pt>
                <c:pt idx="11">
                  <c:v>75</c:v>
                </c:pt>
                <c:pt idx="12">
                  <c:v>100</c:v>
                </c:pt>
                <c:pt idx="13">
                  <c:v>125</c:v>
                </c:pt>
                <c:pt idx="14">
                  <c:v>150</c:v>
                </c:pt>
                <c:pt idx="15">
                  <c:v>175</c:v>
                </c:pt>
                <c:pt idx="16">
                  <c:v>200</c:v>
                </c:pt>
              </c:numCache>
            </c:numRef>
          </c:xVal>
          <c:yVal>
            <c:numRef>
              <c:f>Risk!$D$18:$D$34</c:f>
              <c:numCache>
                <c:formatCode>General</c:formatCode>
                <c:ptCount val="17"/>
                <c:pt idx="0">
                  <c:v>42274.4903777172</c:v>
                </c:pt>
                <c:pt idx="1">
                  <c:v>60583.4631098272</c:v>
                </c:pt>
                <c:pt idx="2">
                  <c:v>85560.5154161047</c:v>
                </c:pt>
                <c:pt idx="3">
                  <c:v>119126.015999075</c:v>
                </c:pt>
                <c:pt idx="4">
                  <c:v>163581.204142788</c:v>
                </c:pt>
                <c:pt idx="5">
                  <c:v>221637.142941136</c:v>
                </c:pt>
                <c:pt idx="6">
                  <c:v>296436.124112293</c:v>
                </c:pt>
                <c:pt idx="7">
                  <c:v>391564.938827056</c:v>
                </c:pt>
                <c:pt idx="8">
                  <c:v>511065.76139702</c:v>
                </c:pt>
                <c:pt idx="9">
                  <c:v>659467.979087308</c:v>
                </c:pt>
                <c:pt idx="10">
                  <c:v>841830.263210071</c:v>
                </c:pt>
                <c:pt idx="11">
                  <c:v>1063495.17119611</c:v>
                </c:pt>
                <c:pt idx="12">
                  <c:v>1332676.60569221</c:v>
                </c:pt>
                <c:pt idx="13">
                  <c:v>1674677.16356792</c:v>
                </c:pt>
                <c:pt idx="14">
                  <c:v>2058044.72485441</c:v>
                </c:pt>
                <c:pt idx="15">
                  <c:v>2475398.87471153</c:v>
                </c:pt>
                <c:pt idx="16">
                  <c:v>2918112.84564604</c:v>
                </c:pt>
              </c:numCache>
            </c:numRef>
          </c:yVal>
        </c:ser>
        <c:ser>
          <c:idx val="3"/>
          <c:order val="3"/>
          <c:tx>
            <c:v>Zero-cost collar</c:v>
          </c:tx>
          <c:spPr>
            <a:ln w="28575">
              <a:solidFill>
                <a:srgbClr val="1BAF7A"/>
              </a:solidFill>
            </a:ln>
          </c:spPr>
          <c:marker>
            <c:symbol val="none"/>
          </c:marker>
          <c:xVal>
            <c:numRef>
              <c:f>Risk!$A$18:$A$34</c:f>
              <c:numCache>
                <c:formatCode>General</c:formatCode>
                <c:ptCount val="17"/>
                <c:pt idx="0">
                  <c:v>-200</c:v>
                </c:pt>
                <c:pt idx="1">
                  <c:v>-175</c:v>
                </c:pt>
                <c:pt idx="2">
                  <c:v>-150</c:v>
                </c:pt>
                <c:pt idx="3">
                  <c:v>-125</c:v>
                </c:pt>
                <c:pt idx="4">
                  <c:v>-100</c:v>
                </c:pt>
                <c:pt idx="5">
                  <c:v>-75</c:v>
                </c:pt>
                <c:pt idx="6">
                  <c:v>-50</c:v>
                </c:pt>
                <c:pt idx="7">
                  <c:v>-25</c:v>
                </c:pt>
                <c:pt idx="8">
                  <c:v>0</c:v>
                </c:pt>
                <c:pt idx="9">
                  <c:v>25</c:v>
                </c:pt>
                <c:pt idx="10">
                  <c:v>50</c:v>
                </c:pt>
                <c:pt idx="11">
                  <c:v>75</c:v>
                </c:pt>
                <c:pt idx="12">
                  <c:v>100</c:v>
                </c:pt>
                <c:pt idx="13">
                  <c:v>125</c:v>
                </c:pt>
                <c:pt idx="14">
                  <c:v>150</c:v>
                </c:pt>
                <c:pt idx="15">
                  <c:v>175</c:v>
                </c:pt>
                <c:pt idx="16">
                  <c:v>200</c:v>
                </c:pt>
              </c:numCache>
            </c:numRef>
          </c:xVal>
          <c:yVal>
            <c:numRef>
              <c:f>Risk!$E$18:$E$34</c:f>
              <c:numCache>
                <c:formatCode>General</c:formatCode>
                <c:ptCount val="17"/>
                <c:pt idx="0">
                  <c:v>-3638083.4644588</c:v>
                </c:pt>
                <c:pt idx="1">
                  <c:v>-3068295.16021565</c:v>
                </c:pt>
                <c:pt idx="2">
                  <c:v>-2525223.11958942</c:v>
                </c:pt>
                <c:pt idx="3">
                  <c:v>-2011367.40062838</c:v>
                </c:pt>
                <c:pt idx="4">
                  <c:v>-1529403.87115512</c:v>
                </c:pt>
                <c:pt idx="5">
                  <c:v>-1082093.65618103</c:v>
                </c:pt>
                <c:pt idx="6">
                  <c:v>-671465.571081507</c:v>
                </c:pt>
                <c:pt idx="7">
                  <c:v>-313057.079475496</c:v>
                </c:pt>
                <c:pt idx="8">
                  <c:v>-7.82834831625223e-07</c:v>
                </c:pt>
                <c:pt idx="9">
                  <c:v>294419.690500164</c:v>
                </c:pt>
                <c:pt idx="10">
                  <c:v>584372.534238239</c:v>
                </c:pt>
                <c:pt idx="11">
                  <c:v>884063.043516085</c:v>
                </c:pt>
                <c:pt idx="12">
                  <c:v>1209087.86231822</c:v>
                </c:pt>
                <c:pt idx="13">
                  <c:v>1590549.37124414</c:v>
                </c:pt>
                <c:pt idx="14">
                  <c:v>2001451.16007834</c:v>
                </c:pt>
                <c:pt idx="15">
                  <c:v>2437778.18849957</c:v>
                </c:pt>
                <c:pt idx="16">
                  <c:v>2893402.98635171</c:v>
                </c:pt>
              </c:numCache>
            </c:numRef>
          </c:yVal>
        </c:ser>
        <c:axId val="50020001"/>
        <c:axId val="50020002"/>
      </c:scatterChart>
      <c:valAx>
        <c:axId val="50020001"/>
        <c:scaling>
          <c:orientation val="minMax"/>
          <c:max val="200"/>
          <c:min val="-200"/>
        </c:scaling>
        <c:axPos val="b"/>
        <c:majorGridlines>
          <c:spPr>
            <a:ln>
              <a:solidFill>
                <a:srgbClr val="E6E6E6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Parallel move of all rates (bp)</a:t>
                </a:r>
              </a:p>
            </c:rich>
          </c:tx>
          <c:layout/>
        </c:title>
        <c:numFmt formatCode="General" sourceLinked="1"/>
        <c:tickLblPos val="nextTo"/>
        <c:crossAx val="50020002"/>
        <c:crosses val="autoZero"/>
        <c:crossBetween val="midCat"/>
        <c:majorUnit val="50"/>
      </c:valAx>
      <c:valAx>
        <c:axId val="50020002"/>
        <c:scaling>
          <c:orientation val="minMax"/>
        </c:scaling>
        <c:axPos val="l"/>
        <c:majorGridlines>
          <c:spPr>
            <a:ln>
              <a:solidFill>
                <a:srgbClr val="E6E6E6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Value to the client (EUR)</a:t>
                </a:r>
              </a:p>
            </c:rich>
          </c:tx>
          <c:layout/>
        </c:title>
        <c:numFmt formatCode="#,##0" sourceLinked="0"/>
        <c:tickLblPos val="nextTo"/>
        <c:crossAx val="50020001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baseline="0"/>
            </a:pPr>
            <a:r>
              <a:rPr lang="en-US" sz="1200" b="1" baseline="0"/>
              <a:t>EUR curves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v>EUR STR zero rate</c:v>
          </c:tx>
          <c:spPr>
            <a:ln w="28575">
              <a:solidFill>
                <a:srgbClr val="2A78D6"/>
              </a:solidFill>
            </a:ln>
          </c:spPr>
          <c:marker>
            <c:symbol val="none"/>
          </c:marker>
          <c:xVal>
            <c:numRef>
              <c:f>Curves!$K$5:$K$84</c:f>
              <c:numCache>
                <c:formatCode>General</c:formatCode>
                <c:ptCount val="80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3.75</c:v>
                </c:pt>
                <c:pt idx="15">
                  <c:v>4</c:v>
                </c:pt>
                <c:pt idx="16">
                  <c:v>4.25</c:v>
                </c:pt>
                <c:pt idx="17">
                  <c:v>4.5</c:v>
                </c:pt>
                <c:pt idx="18">
                  <c:v>4.75</c:v>
                </c:pt>
                <c:pt idx="19">
                  <c:v>5</c:v>
                </c:pt>
                <c:pt idx="20">
                  <c:v>5.25</c:v>
                </c:pt>
                <c:pt idx="21">
                  <c:v>5.5</c:v>
                </c:pt>
                <c:pt idx="22">
                  <c:v>5.75</c:v>
                </c:pt>
                <c:pt idx="23">
                  <c:v>6</c:v>
                </c:pt>
                <c:pt idx="24">
                  <c:v>6.25</c:v>
                </c:pt>
                <c:pt idx="25">
                  <c:v>6.5</c:v>
                </c:pt>
                <c:pt idx="26">
                  <c:v>6.75</c:v>
                </c:pt>
                <c:pt idx="27">
                  <c:v>7</c:v>
                </c:pt>
                <c:pt idx="28">
                  <c:v>7.25</c:v>
                </c:pt>
                <c:pt idx="29">
                  <c:v>7.5</c:v>
                </c:pt>
                <c:pt idx="30">
                  <c:v>7.75</c:v>
                </c:pt>
                <c:pt idx="31">
                  <c:v>8</c:v>
                </c:pt>
                <c:pt idx="32">
                  <c:v>8.25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  <c:pt idx="46">
                  <c:v>11.75</c:v>
                </c:pt>
                <c:pt idx="47">
                  <c:v>12</c:v>
                </c:pt>
                <c:pt idx="48">
                  <c:v>12.25</c:v>
                </c:pt>
                <c:pt idx="49">
                  <c:v>12.5</c:v>
                </c:pt>
                <c:pt idx="50">
                  <c:v>12.75</c:v>
                </c:pt>
                <c:pt idx="51">
                  <c:v>13</c:v>
                </c:pt>
                <c:pt idx="52">
                  <c:v>13.25</c:v>
                </c:pt>
                <c:pt idx="53">
                  <c:v>13.5</c:v>
                </c:pt>
                <c:pt idx="54">
                  <c:v>13.75</c:v>
                </c:pt>
                <c:pt idx="55">
                  <c:v>14</c:v>
                </c:pt>
                <c:pt idx="56">
                  <c:v>14.25</c:v>
                </c:pt>
                <c:pt idx="57">
                  <c:v>14.5</c:v>
                </c:pt>
                <c:pt idx="58">
                  <c:v>14.75</c:v>
                </c:pt>
                <c:pt idx="59">
                  <c:v>15</c:v>
                </c:pt>
                <c:pt idx="60">
                  <c:v>15.25</c:v>
                </c:pt>
                <c:pt idx="61">
                  <c:v>15.5</c:v>
                </c:pt>
                <c:pt idx="62">
                  <c:v>15.75</c:v>
                </c:pt>
                <c:pt idx="63">
                  <c:v>16</c:v>
                </c:pt>
                <c:pt idx="64">
                  <c:v>16.25</c:v>
                </c:pt>
                <c:pt idx="65">
                  <c:v>16.5</c:v>
                </c:pt>
                <c:pt idx="66">
                  <c:v>16.75</c:v>
                </c:pt>
                <c:pt idx="67">
                  <c:v>17</c:v>
                </c:pt>
                <c:pt idx="68">
                  <c:v>17.25</c:v>
                </c:pt>
                <c:pt idx="69">
                  <c:v>17.5</c:v>
                </c:pt>
                <c:pt idx="70">
                  <c:v>17.75</c:v>
                </c:pt>
                <c:pt idx="71">
                  <c:v>18</c:v>
                </c:pt>
                <c:pt idx="72">
                  <c:v>18.25</c:v>
                </c:pt>
                <c:pt idx="73">
                  <c:v>18.5</c:v>
                </c:pt>
                <c:pt idx="74">
                  <c:v>18.75</c:v>
                </c:pt>
                <c:pt idx="75">
                  <c:v>19</c:v>
                </c:pt>
                <c:pt idx="76">
                  <c:v>19.25</c:v>
                </c:pt>
                <c:pt idx="77">
                  <c:v>19.5</c:v>
                </c:pt>
                <c:pt idx="78">
                  <c:v>19.75</c:v>
                </c:pt>
                <c:pt idx="79">
                  <c:v>20</c:v>
                </c:pt>
              </c:numCache>
            </c:numRef>
          </c:xVal>
          <c:yVal>
            <c:numRef>
              <c:f>Curves!$M$5:$M$84</c:f>
              <c:numCache>
                <c:formatCode>General</c:formatCode>
                <c:ptCount val="80"/>
                <c:pt idx="0">
                  <c:v>0.0192172712895248</c:v>
                </c:pt>
                <c:pt idx="1">
                  <c:v>0.0189710983732262</c:v>
                </c:pt>
                <c:pt idx="2">
                  <c:v>0.0188455279464558</c:v>
                </c:pt>
                <c:pt idx="3">
                  <c:v>0.0187822266902208</c:v>
                </c:pt>
                <c:pt idx="4">
                  <c:v>0.0189840569086447</c:v>
                </c:pt>
                <c:pt idx="5">
                  <c:v>0.0191170264164389</c:v>
                </c:pt>
                <c:pt idx="6">
                  <c:v>0.0192121235448613</c:v>
                </c:pt>
                <c:pt idx="7">
                  <c:v>0.0192841972783672</c:v>
                </c:pt>
                <c:pt idx="8">
                  <c:v>0.0195561470733473</c:v>
                </c:pt>
                <c:pt idx="9">
                  <c:v>0.0197691521808732</c:v>
                </c:pt>
                <c:pt idx="10">
                  <c:v>0.019945697018389</c:v>
                </c:pt>
                <c:pt idx="11">
                  <c:v>0.0200943801435592</c:v>
                </c:pt>
                <c:pt idx="12">
                  <c:v>0.0203473138690147</c:v>
                </c:pt>
                <c:pt idx="13">
                  <c:v>0.0205595117893294</c:v>
                </c:pt>
                <c:pt idx="14">
                  <c:v>0.0207457003516977</c:v>
                </c:pt>
                <c:pt idx="15">
                  <c:v>0.0209103573035747</c:v>
                </c:pt>
                <c:pt idx="16">
                  <c:v>0.0211234092204911</c:v>
                </c:pt>
                <c:pt idx="17">
                  <c:v>0.0213087422311247</c:v>
                </c:pt>
                <c:pt idx="18">
                  <c:v>0.0214765739436826</c:v>
                </c:pt>
                <c:pt idx="19">
                  <c:v>0.0216292451901674</c:v>
                </c:pt>
                <c:pt idx="20">
                  <c:v>0.0218377192293207</c:v>
                </c:pt>
                <c:pt idx="21">
                  <c:v>0.0220251437385398</c:v>
                </c:pt>
                <c:pt idx="22">
                  <c:v>0.0221963247902932</c:v>
                </c:pt>
                <c:pt idx="23">
                  <c:v>0.0223549387884156</c:v>
                </c:pt>
                <c:pt idx="24">
                  <c:v>0.0225619169759457</c:v>
                </c:pt>
                <c:pt idx="25">
                  <c:v>0.0227488728421957</c:v>
                </c:pt>
                <c:pt idx="26">
                  <c:v>0.0229240256709758</c:v>
                </c:pt>
                <c:pt idx="27">
                  <c:v>0.0230884301242895</c:v>
                </c:pt>
                <c:pt idx="28">
                  <c:v>0.0232644770986424</c:v>
                </c:pt>
                <c:pt idx="29">
                  <c:v>0.023425253366591</c:v>
                </c:pt>
                <c:pt idx="30">
                  <c:v>0.0235774189196943</c:v>
                </c:pt>
                <c:pt idx="31">
                  <c:v>0.0237216220223239</c:v>
                </c:pt>
                <c:pt idx="32">
                  <c:v>0.0239182001382514</c:v>
                </c:pt>
                <c:pt idx="33">
                  <c:v>0.0240992292203846</c:v>
                </c:pt>
                <c:pt idx="34">
                  <c:v>0.0242719003053194</c:v>
                </c:pt>
                <c:pt idx="35">
                  <c:v>0.0244367499674337</c:v>
                </c:pt>
                <c:pt idx="36">
                  <c:v>0.0245926229092672</c:v>
                </c:pt>
                <c:pt idx="37">
                  <c:v>0.0247386705434685</c:v>
                </c:pt>
                <c:pt idx="38">
                  <c:v>0.0248772537942312</c:v>
                </c:pt>
                <c:pt idx="39">
                  <c:v>0.0250103412068756</c:v>
                </c:pt>
                <c:pt idx="40">
                  <c:v>0.0251550308564177</c:v>
                </c:pt>
                <c:pt idx="41">
                  <c:v>0.0252898577258695</c:v>
                </c:pt>
                <c:pt idx="42">
                  <c:v>0.0254198976957988</c:v>
                </c:pt>
                <c:pt idx="43">
                  <c:v>0.0255453789154491</c:v>
                </c:pt>
                <c:pt idx="44">
                  <c:v>0.0256652424843899</c:v>
                </c:pt>
                <c:pt idx="45">
                  <c:v>0.0257774191505399</c:v>
                </c:pt>
                <c:pt idx="46">
                  <c:v>0.0258860578902969</c:v>
                </c:pt>
                <c:pt idx="47">
                  <c:v>0.0259913047081524</c:v>
                </c:pt>
                <c:pt idx="48">
                  <c:v>0.0260809279423871</c:v>
                </c:pt>
                <c:pt idx="49">
                  <c:v>0.0261651073728565</c:v>
                </c:pt>
                <c:pt idx="50">
                  <c:v>0.0262469133306957</c:v>
                </c:pt>
                <c:pt idx="51">
                  <c:v>0.0263264305968975</c:v>
                </c:pt>
                <c:pt idx="52">
                  <c:v>0.0264029248926486</c:v>
                </c:pt>
                <c:pt idx="53">
                  <c:v>0.0264757797183225</c:v>
                </c:pt>
                <c:pt idx="54">
                  <c:v>0.0265459942456546</c:v>
                </c:pt>
                <c:pt idx="55">
                  <c:v>0.0266144401853789</c:v>
                </c:pt>
                <c:pt idx="56">
                  <c:v>0.026680466983169</c:v>
                </c:pt>
                <c:pt idx="57">
                  <c:v>0.0267428386951068</c:v>
                </c:pt>
                <c:pt idx="58">
                  <c:v>0.0268037844885678</c:v>
                </c:pt>
                <c:pt idx="59">
                  <c:v>0.0268633420416617</c:v>
                </c:pt>
                <c:pt idx="60">
                  <c:v>0.0268887451760962</c:v>
                </c:pt>
                <c:pt idx="61">
                  <c:v>0.026912797117336</c:v>
                </c:pt>
                <c:pt idx="62">
                  <c:v>0.026936351042894</c:v>
                </c:pt>
                <c:pt idx="63">
                  <c:v>0.0269594181260256</c:v>
                </c:pt>
                <c:pt idx="64">
                  <c:v>0.0269817701917556</c:v>
                </c:pt>
                <c:pt idx="65">
                  <c:v>0.0270029759315413</c:v>
                </c:pt>
                <c:pt idx="66">
                  <c:v>0.0270237828479574</c:v>
                </c:pt>
                <c:pt idx="67">
                  <c:v>0.027044198423373</c:v>
                </c:pt>
                <c:pt idx="68">
                  <c:v>0.0270640178289938</c:v>
                </c:pt>
                <c:pt idx="69">
                  <c:v>0.0270830605535008</c:v>
                </c:pt>
                <c:pt idx="70">
                  <c:v>0.0271015686835515</c:v>
                </c:pt>
                <c:pt idx="71">
                  <c:v>0.0271197594076398</c:v>
                </c:pt>
                <c:pt idx="72">
                  <c:v>0.0271374480928452</c:v>
                </c:pt>
                <c:pt idx="73">
                  <c:v>0.027154286153649</c:v>
                </c:pt>
                <c:pt idx="74">
                  <c:v>0.027170861310995</c:v>
                </c:pt>
                <c:pt idx="75">
                  <c:v>0.027187176741709</c:v>
                </c:pt>
                <c:pt idx="76">
                  <c:v>0.0272030652612668</c:v>
                </c:pt>
                <c:pt idx="77">
                  <c:v>0.0272182111797859</c:v>
                </c:pt>
                <c:pt idx="78">
                  <c:v>0.0272331410980067</c:v>
                </c:pt>
                <c:pt idx="79">
                  <c:v>0.0272478569568364</c:v>
                </c:pt>
              </c:numCache>
            </c:numRef>
          </c:yVal>
        </c:ser>
        <c:ser>
          <c:idx val="1"/>
          <c:order val="1"/>
          <c:tx>
            <c:v>Euribor 3M forward</c:v>
          </c:tx>
          <c:spPr>
            <a:ln w="28575">
              <a:solidFill>
                <a:srgbClr val="EB6834"/>
              </a:solidFill>
            </a:ln>
          </c:spPr>
          <c:marker>
            <c:symbol val="none"/>
          </c:marker>
          <c:xVal>
            <c:numRef>
              <c:f>Curves!$K$5:$K$84</c:f>
              <c:numCache>
                <c:formatCode>General</c:formatCode>
                <c:ptCount val="80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3.75</c:v>
                </c:pt>
                <c:pt idx="15">
                  <c:v>4</c:v>
                </c:pt>
                <c:pt idx="16">
                  <c:v>4.25</c:v>
                </c:pt>
                <c:pt idx="17">
                  <c:v>4.5</c:v>
                </c:pt>
                <c:pt idx="18">
                  <c:v>4.75</c:v>
                </c:pt>
                <c:pt idx="19">
                  <c:v>5</c:v>
                </c:pt>
                <c:pt idx="20">
                  <c:v>5.25</c:v>
                </c:pt>
                <c:pt idx="21">
                  <c:v>5.5</c:v>
                </c:pt>
                <c:pt idx="22">
                  <c:v>5.75</c:v>
                </c:pt>
                <c:pt idx="23">
                  <c:v>6</c:v>
                </c:pt>
                <c:pt idx="24">
                  <c:v>6.25</c:v>
                </c:pt>
                <c:pt idx="25">
                  <c:v>6.5</c:v>
                </c:pt>
                <c:pt idx="26">
                  <c:v>6.75</c:v>
                </c:pt>
                <c:pt idx="27">
                  <c:v>7</c:v>
                </c:pt>
                <c:pt idx="28">
                  <c:v>7.25</c:v>
                </c:pt>
                <c:pt idx="29">
                  <c:v>7.5</c:v>
                </c:pt>
                <c:pt idx="30">
                  <c:v>7.75</c:v>
                </c:pt>
                <c:pt idx="31">
                  <c:v>8</c:v>
                </c:pt>
                <c:pt idx="32">
                  <c:v>8.25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  <c:pt idx="46">
                  <c:v>11.75</c:v>
                </c:pt>
                <c:pt idx="47">
                  <c:v>12</c:v>
                </c:pt>
                <c:pt idx="48">
                  <c:v>12.25</c:v>
                </c:pt>
                <c:pt idx="49">
                  <c:v>12.5</c:v>
                </c:pt>
                <c:pt idx="50">
                  <c:v>12.75</c:v>
                </c:pt>
                <c:pt idx="51">
                  <c:v>13</c:v>
                </c:pt>
                <c:pt idx="52">
                  <c:v>13.25</c:v>
                </c:pt>
                <c:pt idx="53">
                  <c:v>13.5</c:v>
                </c:pt>
                <c:pt idx="54">
                  <c:v>13.75</c:v>
                </c:pt>
                <c:pt idx="55">
                  <c:v>14</c:v>
                </c:pt>
                <c:pt idx="56">
                  <c:v>14.25</c:v>
                </c:pt>
                <c:pt idx="57">
                  <c:v>14.5</c:v>
                </c:pt>
                <c:pt idx="58">
                  <c:v>14.75</c:v>
                </c:pt>
                <c:pt idx="59">
                  <c:v>15</c:v>
                </c:pt>
                <c:pt idx="60">
                  <c:v>15.25</c:v>
                </c:pt>
                <c:pt idx="61">
                  <c:v>15.5</c:v>
                </c:pt>
                <c:pt idx="62">
                  <c:v>15.75</c:v>
                </c:pt>
                <c:pt idx="63">
                  <c:v>16</c:v>
                </c:pt>
                <c:pt idx="64">
                  <c:v>16.25</c:v>
                </c:pt>
                <c:pt idx="65">
                  <c:v>16.5</c:v>
                </c:pt>
                <c:pt idx="66">
                  <c:v>16.75</c:v>
                </c:pt>
                <c:pt idx="67">
                  <c:v>17</c:v>
                </c:pt>
                <c:pt idx="68">
                  <c:v>17.25</c:v>
                </c:pt>
                <c:pt idx="69">
                  <c:v>17.5</c:v>
                </c:pt>
                <c:pt idx="70">
                  <c:v>17.75</c:v>
                </c:pt>
                <c:pt idx="71">
                  <c:v>18</c:v>
                </c:pt>
                <c:pt idx="72">
                  <c:v>18.25</c:v>
                </c:pt>
                <c:pt idx="73">
                  <c:v>18.5</c:v>
                </c:pt>
                <c:pt idx="74">
                  <c:v>18.75</c:v>
                </c:pt>
                <c:pt idx="75">
                  <c:v>19</c:v>
                </c:pt>
                <c:pt idx="76">
                  <c:v>19.25</c:v>
                </c:pt>
                <c:pt idx="77">
                  <c:v>19.5</c:v>
                </c:pt>
                <c:pt idx="78">
                  <c:v>19.75</c:v>
                </c:pt>
                <c:pt idx="79">
                  <c:v>20</c:v>
                </c:pt>
              </c:numCache>
            </c:numRef>
          </c:xVal>
          <c:yVal>
            <c:numRef>
              <c:f>Curves!$N$5:$N$84</c:f>
              <c:numCache>
                <c:formatCode>General</c:formatCode>
                <c:ptCount val="80"/>
                <c:pt idx="0">
                  <c:v>0.0197397760415852</c:v>
                </c:pt>
                <c:pt idx="1">
                  <c:v>0.0197403163560983</c:v>
                </c:pt>
                <c:pt idx="2">
                  <c:v>0.0197408566903227</c:v>
                </c:pt>
                <c:pt idx="3">
                  <c:v>0.0208052931488843</c:v>
                </c:pt>
                <c:pt idx="4">
                  <c:v>0.0208046930283406</c:v>
                </c:pt>
                <c:pt idx="5">
                  <c:v>0.0208046930283414</c:v>
                </c:pt>
                <c:pt idx="6">
                  <c:v>0.0208052931488843</c:v>
                </c:pt>
                <c:pt idx="7">
                  <c:v>0.0227471088621678</c:v>
                </c:pt>
                <c:pt idx="8">
                  <c:v>0.0227456743912517</c:v>
                </c:pt>
                <c:pt idx="9">
                  <c:v>0.0227463916116395</c:v>
                </c:pt>
                <c:pt idx="10">
                  <c:v>0.0227471088621678</c:v>
                </c:pt>
                <c:pt idx="11">
                  <c:v>0.0243540406875651</c:v>
                </c:pt>
                <c:pt idx="12">
                  <c:v>0.0243523966153409</c:v>
                </c:pt>
                <c:pt idx="13">
                  <c:v>0.024353218632964</c:v>
                </c:pt>
                <c:pt idx="14">
                  <c:v>0.0243540406875651</c:v>
                </c:pt>
                <c:pt idx="15">
                  <c:v>0.0254754004979805</c:v>
                </c:pt>
                <c:pt idx="16">
                  <c:v>0.025473601715408</c:v>
                </c:pt>
                <c:pt idx="17">
                  <c:v>0.0254745010855359</c:v>
                </c:pt>
                <c:pt idx="18">
                  <c:v>0.0254754004979805</c:v>
                </c:pt>
                <c:pt idx="19">
                  <c:v>0.0268487769808275</c:v>
                </c:pt>
                <c:pt idx="20">
                  <c:v>0.0268477780975705</c:v>
                </c:pt>
                <c:pt idx="21">
                  <c:v>0.0268477780975705</c:v>
                </c:pt>
                <c:pt idx="22">
                  <c:v>0.0268487769808266</c:v>
                </c:pt>
                <c:pt idx="23">
                  <c:v>0.0283960841449043</c:v>
                </c:pt>
                <c:pt idx="24">
                  <c:v>0.0283938498337921</c:v>
                </c:pt>
                <c:pt idx="25">
                  <c:v>0.0283949669600642</c:v>
                </c:pt>
                <c:pt idx="26">
                  <c:v>0.0283960841449043</c:v>
                </c:pt>
                <c:pt idx="27">
                  <c:v>0.0290466897761659</c:v>
                </c:pt>
                <c:pt idx="28">
                  <c:v>0.029044352039671</c:v>
                </c:pt>
                <c:pt idx="29">
                  <c:v>0.0290455208765787</c:v>
                </c:pt>
                <c:pt idx="30">
                  <c:v>0.0290466897761667</c:v>
                </c:pt>
                <c:pt idx="31">
                  <c:v>0.0304306288002145</c:v>
                </c:pt>
                <c:pt idx="32">
                  <c:v>0.0304280632999161</c:v>
                </c:pt>
                <c:pt idx="33">
                  <c:v>0.0304293460140388</c:v>
                </c:pt>
                <c:pt idx="34">
                  <c:v>0.0304306288002145</c:v>
                </c:pt>
                <c:pt idx="35">
                  <c:v>0.0304306288002145</c:v>
                </c:pt>
                <c:pt idx="36">
                  <c:v>0.0304293460140379</c:v>
                </c:pt>
                <c:pt idx="37">
                  <c:v>0.0304293460140388</c:v>
                </c:pt>
                <c:pt idx="38">
                  <c:v>0.0304306288002145</c:v>
                </c:pt>
                <c:pt idx="39">
                  <c:v>0.0309580681275655</c:v>
                </c:pt>
                <c:pt idx="40">
                  <c:v>0.0309554130446585</c:v>
                </c:pt>
                <c:pt idx="41">
                  <c:v>0.0309567405481825</c:v>
                </c:pt>
                <c:pt idx="42">
                  <c:v>0.0309580681275664</c:v>
                </c:pt>
                <c:pt idx="43">
                  <c:v>0.0309580681275655</c:v>
                </c:pt>
                <c:pt idx="44">
                  <c:v>0.0309554130446585</c:v>
                </c:pt>
                <c:pt idx="45">
                  <c:v>0.0309567405481834</c:v>
                </c:pt>
                <c:pt idx="46">
                  <c:v>0.0309580681275655</c:v>
                </c:pt>
                <c:pt idx="47">
                  <c:v>0.0309758555444684</c:v>
                </c:pt>
                <c:pt idx="48">
                  <c:v>0.0309731974137426</c:v>
                </c:pt>
                <c:pt idx="49">
                  <c:v>0.0309745264411115</c:v>
                </c:pt>
                <c:pt idx="50">
                  <c:v>0.0309758555444692</c:v>
                </c:pt>
                <c:pt idx="51">
                  <c:v>0.0309758555444684</c:v>
                </c:pt>
                <c:pt idx="52">
                  <c:v>0.0309745264411115</c:v>
                </c:pt>
                <c:pt idx="53">
                  <c:v>0.0309745264411115</c:v>
                </c:pt>
                <c:pt idx="54">
                  <c:v>0.0309758555444684</c:v>
                </c:pt>
                <c:pt idx="55">
                  <c:v>0.0309758555444684</c:v>
                </c:pt>
                <c:pt idx="56">
                  <c:v>0.0309731974137435</c:v>
                </c:pt>
                <c:pt idx="57">
                  <c:v>0.0309745264411115</c:v>
                </c:pt>
                <c:pt idx="58">
                  <c:v>0.0309758555444684</c:v>
                </c:pt>
                <c:pt idx="59">
                  <c:v>0.0285868456353508</c:v>
                </c:pt>
                <c:pt idx="60">
                  <c:v>0.0285845812411507</c:v>
                </c:pt>
                <c:pt idx="61">
                  <c:v>0.0285857134083727</c:v>
                </c:pt>
                <c:pt idx="62">
                  <c:v>0.0285868456353508</c:v>
                </c:pt>
                <c:pt idx="63">
                  <c:v>0.02858684563535</c:v>
                </c:pt>
                <c:pt idx="64">
                  <c:v>0.0285845812411507</c:v>
                </c:pt>
                <c:pt idx="65">
                  <c:v>0.0285857134083727</c:v>
                </c:pt>
                <c:pt idx="66">
                  <c:v>0.0285868456353508</c:v>
                </c:pt>
                <c:pt idx="67">
                  <c:v>0.02858684563535</c:v>
                </c:pt>
                <c:pt idx="68">
                  <c:v>0.0285857134083736</c:v>
                </c:pt>
                <c:pt idx="69">
                  <c:v>0.0285857134083727</c:v>
                </c:pt>
                <c:pt idx="70">
                  <c:v>0.0285868456353508</c:v>
                </c:pt>
                <c:pt idx="71">
                  <c:v>0.0285868456353508</c:v>
                </c:pt>
                <c:pt idx="72">
                  <c:v>0.0285845812411498</c:v>
                </c:pt>
                <c:pt idx="73">
                  <c:v>0.0285857134083736</c:v>
                </c:pt>
                <c:pt idx="74">
                  <c:v>0.02858684563535</c:v>
                </c:pt>
                <c:pt idx="75">
                  <c:v>0.0285868456353508</c:v>
                </c:pt>
                <c:pt idx="76">
                  <c:v>0.0285845812411507</c:v>
                </c:pt>
                <c:pt idx="77">
                  <c:v>0.0285857134083736</c:v>
                </c:pt>
                <c:pt idx="78">
                  <c:v>0.0285868456353508</c:v>
                </c:pt>
                <c:pt idx="79">
                  <c:v>0.0285868456353508</c:v>
                </c:pt>
              </c:numCache>
            </c:numRef>
          </c:yVal>
        </c:ser>
        <c:axId val="50030001"/>
        <c:axId val="50030002"/>
      </c:scatterChart>
      <c:valAx>
        <c:axId val="50030001"/>
        <c:scaling>
          <c:orientation val="minMax"/>
          <c:max val="20"/>
          <c:min val="0"/>
        </c:scaling>
        <c:axPos val="b"/>
        <c:majorGridlines>
          <c:spPr>
            <a:ln>
              <a:solidFill>
                <a:srgbClr val="E6E6E6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Maturity (years)</a:t>
                </a:r>
              </a:p>
            </c:rich>
          </c:tx>
          <c:layout/>
        </c:title>
        <c:numFmt formatCode="General" sourceLinked="1"/>
        <c:tickLblPos val="nextTo"/>
        <c:crossAx val="50030002"/>
        <c:crosses val="autoZero"/>
        <c:crossBetween val="midCat"/>
        <c:majorUnit val="5"/>
      </c:valAx>
      <c:valAx>
        <c:axId val="50030002"/>
        <c:scaling>
          <c:orientation val="minMax"/>
          <c:max val="0.035"/>
          <c:min val="0.015"/>
        </c:scaling>
        <c:axPos val="l"/>
        <c:majorGridlines>
          <c:spPr>
            <a:ln>
              <a:solidFill>
                <a:srgbClr val="E6E6E6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Rate</a:t>
                </a:r>
              </a:p>
            </c:rich>
          </c:tx>
          <c:layout/>
        </c:title>
        <c:numFmt formatCode="0.0%" sourceLinked="0"/>
        <c:tickLblPos val="nextTo"/>
        <c:crossAx val="50030001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baseline="0"/>
            </a:pPr>
            <a:r>
              <a:rPr lang="en-US" sz="1200" b="1" baseline="0"/>
              <a:t>All-in cost: 1% = best scenario, 99% = worst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v>Unhedged</c:v>
          </c:tx>
          <c:spPr>
            <a:ln w="19050">
              <a:solidFill>
                <a:srgbClr val="8A8985"/>
              </a:solidFill>
              <a:prstDash val="dash"/>
            </a:ln>
          </c:spPr>
          <c:marker>
            <c:symbol val="none"/>
          </c:marker>
          <c:xVal>
            <c:numRef>
              <c:f>Distribution!$A$3:$A$101</c:f>
              <c:numCache>
                <c:formatCode>General</c:formatCode>
                <c:ptCount val="9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0.07000000000000001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</c:v>
                </c:pt>
                <c:pt idx="28">
                  <c:v>0.29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</c:v>
                </c:pt>
                <c:pt idx="55">
                  <c:v>0.5600000000000001</c:v>
                </c:pt>
                <c:pt idx="56">
                  <c:v>0.57</c:v>
                </c:pt>
                <c:pt idx="57">
                  <c:v>0.58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0.6899999999999999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0.8100000000000001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0.9399999999999999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</c:numCache>
            </c:numRef>
          </c:xVal>
          <c:yVal>
            <c:numRef>
              <c:f>Distribution!$B$3:$B$101</c:f>
              <c:numCache>
                <c:formatCode>General</c:formatCode>
                <c:ptCount val="99"/>
                <c:pt idx="0">
                  <c:v>0.0192404748899609</c:v>
                </c:pt>
                <c:pt idx="1">
                  <c:v>0.0203936430005652</c:v>
                </c:pt>
                <c:pt idx="2">
                  <c:v>0.0212361275605819</c:v>
                </c:pt>
                <c:pt idx="3">
                  <c:v>0.0219450527247793</c:v>
                </c:pt>
                <c:pt idx="4">
                  <c:v>0.0226307472418826</c:v>
                </c:pt>
                <c:pt idx="5">
                  <c:v>0.023306316899372</c:v>
                </c:pt>
                <c:pt idx="6">
                  <c:v>0.0239406930370874</c:v>
                </c:pt>
                <c:pt idx="7">
                  <c:v>0.0244652227762661</c:v>
                </c:pt>
                <c:pt idx="8">
                  <c:v>0.0249938035313701</c:v>
                </c:pt>
                <c:pt idx="9">
                  <c:v>0.0255137438498336</c:v>
                </c:pt>
                <c:pt idx="10">
                  <c:v>0.0259710336676671</c:v>
                </c:pt>
                <c:pt idx="11">
                  <c:v>0.0264499781452511</c:v>
                </c:pt>
                <c:pt idx="12">
                  <c:v>0.0268836526447895</c:v>
                </c:pt>
                <c:pt idx="13">
                  <c:v>0.0272898180407648</c:v>
                </c:pt>
                <c:pt idx="14">
                  <c:v>0.0277021064131577</c:v>
                </c:pt>
                <c:pt idx="15">
                  <c:v>0.028095080585821</c:v>
                </c:pt>
                <c:pt idx="16">
                  <c:v>0.0284703640942416</c:v>
                </c:pt>
                <c:pt idx="17">
                  <c:v>0.0287985147491374</c:v>
                </c:pt>
                <c:pt idx="18">
                  <c:v>0.0291764374492967</c:v>
                </c:pt>
                <c:pt idx="19">
                  <c:v>0.0295557498633701</c:v>
                </c:pt>
                <c:pt idx="20">
                  <c:v>0.0298977987199758</c:v>
                </c:pt>
                <c:pt idx="21">
                  <c:v>0.0302405453853915</c:v>
                </c:pt>
                <c:pt idx="22">
                  <c:v>0.0305406918124801</c:v>
                </c:pt>
                <c:pt idx="23">
                  <c:v>0.0308704333928395</c:v>
                </c:pt>
                <c:pt idx="24">
                  <c:v>0.0311635085970337</c:v>
                </c:pt>
                <c:pt idx="25">
                  <c:v>0.0314313101142523</c:v>
                </c:pt>
                <c:pt idx="26">
                  <c:v>0.0317308398184026</c:v>
                </c:pt>
                <c:pt idx="27">
                  <c:v>0.0320485788978048</c:v>
                </c:pt>
                <c:pt idx="28">
                  <c:v>0.0323155286712725</c:v>
                </c:pt>
                <c:pt idx="29">
                  <c:v>0.0325807959667537</c:v>
                </c:pt>
                <c:pt idx="30">
                  <c:v>0.0328296139250382</c:v>
                </c:pt>
                <c:pt idx="31">
                  <c:v>0.0330794758762442</c:v>
                </c:pt>
                <c:pt idx="32">
                  <c:v>0.0333769478099011</c:v>
                </c:pt>
                <c:pt idx="33">
                  <c:v>0.0336632612652502</c:v>
                </c:pt>
                <c:pt idx="34">
                  <c:v>0.0338889420103865</c:v>
                </c:pt>
                <c:pt idx="35">
                  <c:v>0.0341505392477384</c:v>
                </c:pt>
                <c:pt idx="36">
                  <c:v>0.0344144008257767</c:v>
                </c:pt>
                <c:pt idx="37">
                  <c:v>0.0346704232746616</c:v>
                </c:pt>
                <c:pt idx="38">
                  <c:v>0.0349386053695507</c:v>
                </c:pt>
                <c:pt idx="39">
                  <c:v>0.0351864856058853</c:v>
                </c:pt>
                <c:pt idx="40">
                  <c:v>0.0354387806275954</c:v>
                </c:pt>
                <c:pt idx="41">
                  <c:v>0.0357090691897083</c:v>
                </c:pt>
                <c:pt idx="42">
                  <c:v>0.0359445491209906</c:v>
                </c:pt>
                <c:pt idx="43">
                  <c:v>0.0361831096927549</c:v>
                </c:pt>
                <c:pt idx="44">
                  <c:v>0.0364417449580397</c:v>
                </c:pt>
                <c:pt idx="45">
                  <c:v>0.0366966460052717</c:v>
                </c:pt>
                <c:pt idx="46">
                  <c:v>0.0369267028570502</c:v>
                </c:pt>
                <c:pt idx="47">
                  <c:v>0.0371977501054154</c:v>
                </c:pt>
                <c:pt idx="48">
                  <c:v>0.0374082846822577</c:v>
                </c:pt>
                <c:pt idx="49">
                  <c:v>0.0376512132546616</c:v>
                </c:pt>
                <c:pt idx="50">
                  <c:v>0.0378960098106244</c:v>
                </c:pt>
                <c:pt idx="51">
                  <c:v>0.0381049223410183</c:v>
                </c:pt>
                <c:pt idx="52">
                  <c:v>0.0383760043348738</c:v>
                </c:pt>
                <c:pt idx="53">
                  <c:v>0.0386063797783986</c:v>
                </c:pt>
                <c:pt idx="54">
                  <c:v>0.0388618032730562</c:v>
                </c:pt>
                <c:pt idx="55">
                  <c:v>0.0391206719079793</c:v>
                </c:pt>
                <c:pt idx="56">
                  <c:v>0.0393589849380336</c:v>
                </c:pt>
                <c:pt idx="57">
                  <c:v>0.0395975672634326</c:v>
                </c:pt>
                <c:pt idx="58">
                  <c:v>0.0398647663007188</c:v>
                </c:pt>
                <c:pt idx="59">
                  <c:v>0.040118726514584</c:v>
                </c:pt>
                <c:pt idx="60">
                  <c:v>0.040366007968404</c:v>
                </c:pt>
                <c:pt idx="61">
                  <c:v>0.0406333703477165</c:v>
                </c:pt>
                <c:pt idx="62">
                  <c:v>0.0408887694910214</c:v>
                </c:pt>
                <c:pt idx="63">
                  <c:v>0.0411582023784271</c:v>
                </c:pt>
                <c:pt idx="64">
                  <c:v>0.0414178406812496</c:v>
                </c:pt>
                <c:pt idx="65">
                  <c:v>0.0416477071305875</c:v>
                </c:pt>
                <c:pt idx="66">
                  <c:v>0.0419458308587476</c:v>
                </c:pt>
                <c:pt idx="67">
                  <c:v>0.0422342757661644</c:v>
                </c:pt>
                <c:pt idx="68">
                  <c:v>0.0424741748712066</c:v>
                </c:pt>
                <c:pt idx="69">
                  <c:v>0.0427375527288169</c:v>
                </c:pt>
                <c:pt idx="70">
                  <c:v>0.0429993292680846</c:v>
                </c:pt>
                <c:pt idx="71">
                  <c:v>0.0432677918015655</c:v>
                </c:pt>
                <c:pt idx="72">
                  <c:v>0.0435924736547667</c:v>
                </c:pt>
                <c:pt idx="73">
                  <c:v>0.0438894047003665</c:v>
                </c:pt>
                <c:pt idx="74">
                  <c:v>0.0441704844301011</c:v>
                </c:pt>
                <c:pt idx="75">
                  <c:v>0.0444754420743447</c:v>
                </c:pt>
                <c:pt idx="76">
                  <c:v>0.0448036581730413</c:v>
                </c:pt>
                <c:pt idx="77">
                  <c:v>0.0451251028698394</c:v>
                </c:pt>
                <c:pt idx="78">
                  <c:v>0.045453492934359</c:v>
                </c:pt>
                <c:pt idx="79">
                  <c:v>0.0457917788386754</c:v>
                </c:pt>
                <c:pt idx="80">
                  <c:v>0.0461803301159307</c:v>
                </c:pt>
                <c:pt idx="81">
                  <c:v>0.0465577051374085</c:v>
                </c:pt>
                <c:pt idx="82">
                  <c:v>0.0469012826941873</c:v>
                </c:pt>
                <c:pt idx="83">
                  <c:v>0.0473001401904798</c:v>
                </c:pt>
                <c:pt idx="84">
                  <c:v>0.0477255746176612</c:v>
                </c:pt>
                <c:pt idx="85">
                  <c:v>0.0481267835851894</c:v>
                </c:pt>
                <c:pt idx="86">
                  <c:v>0.0485321309487593</c:v>
                </c:pt>
                <c:pt idx="87">
                  <c:v>0.0490234794476642</c:v>
                </c:pt>
                <c:pt idx="88">
                  <c:v>0.0495461809687833</c:v>
                </c:pt>
                <c:pt idx="89">
                  <c:v>0.0500402545488649</c:v>
                </c:pt>
                <c:pt idx="90">
                  <c:v>0.0506292209043243</c:v>
                </c:pt>
                <c:pt idx="91">
                  <c:v>0.0512345411113157</c:v>
                </c:pt>
                <c:pt idx="92">
                  <c:v>0.0519912871881514</c:v>
                </c:pt>
                <c:pt idx="93">
                  <c:v>0.0527342022627341</c:v>
                </c:pt>
                <c:pt idx="94">
                  <c:v>0.053616700940244</c:v>
                </c:pt>
                <c:pt idx="95">
                  <c:v>0.0545597623571731</c:v>
                </c:pt>
                <c:pt idx="96">
                  <c:v>0.0557650656724839</c:v>
                </c:pt>
                <c:pt idx="97">
                  <c:v>0.0573204326918985</c:v>
                </c:pt>
                <c:pt idx="98">
                  <c:v>0.0599229699514371</c:v>
                </c:pt>
              </c:numCache>
            </c:numRef>
          </c:yVal>
        </c:ser>
        <c:ser>
          <c:idx val="1"/>
          <c:order val="1"/>
          <c:tx>
            <c:v>Payer swap</c:v>
          </c:tx>
          <c:spPr>
            <a:ln w="28575">
              <a:solidFill>
                <a:srgbClr val="2A78D6"/>
              </a:solidFill>
              <a:prstDash val="solid"/>
            </a:ln>
          </c:spPr>
          <c:marker>
            <c:symbol val="none"/>
          </c:marker>
          <c:xVal>
            <c:numRef>
              <c:f>Distribution!$A$3:$A$101</c:f>
              <c:numCache>
                <c:formatCode>General</c:formatCode>
                <c:ptCount val="9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0.07000000000000001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</c:v>
                </c:pt>
                <c:pt idx="28">
                  <c:v>0.29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</c:v>
                </c:pt>
                <c:pt idx="55">
                  <c:v>0.5600000000000001</c:v>
                </c:pt>
                <c:pt idx="56">
                  <c:v>0.57</c:v>
                </c:pt>
                <c:pt idx="57">
                  <c:v>0.58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0.6899999999999999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0.8100000000000001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0.9399999999999999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</c:numCache>
            </c:numRef>
          </c:xVal>
          <c:yVal>
            <c:numRef>
              <c:f>Distribution!$C$3:$C$101</c:f>
              <c:numCache>
                <c:formatCode>General</c:formatCode>
                <c:ptCount val="99"/>
                <c:pt idx="0">
                  <c:v>0.0375872038239138</c:v>
                </c:pt>
                <c:pt idx="1">
                  <c:v>0.0375872038239138</c:v>
                </c:pt>
                <c:pt idx="2">
                  <c:v>0.0375872038239138</c:v>
                </c:pt>
                <c:pt idx="3">
                  <c:v>0.0375872038239138</c:v>
                </c:pt>
                <c:pt idx="4">
                  <c:v>0.0375872038239138</c:v>
                </c:pt>
                <c:pt idx="5">
                  <c:v>0.0375872038239138</c:v>
                </c:pt>
                <c:pt idx="6">
                  <c:v>0.0375872038239138</c:v>
                </c:pt>
                <c:pt idx="7">
                  <c:v>0.0375872038239138</c:v>
                </c:pt>
                <c:pt idx="8">
                  <c:v>0.0375872038239138</c:v>
                </c:pt>
                <c:pt idx="9">
                  <c:v>0.0375872038239138</c:v>
                </c:pt>
                <c:pt idx="10">
                  <c:v>0.0375872038239138</c:v>
                </c:pt>
                <c:pt idx="11">
                  <c:v>0.0375872038239138</c:v>
                </c:pt>
                <c:pt idx="12">
                  <c:v>0.0375872038239138</c:v>
                </c:pt>
                <c:pt idx="13">
                  <c:v>0.0375872038239138</c:v>
                </c:pt>
                <c:pt idx="14">
                  <c:v>0.0375872038239138</c:v>
                </c:pt>
                <c:pt idx="15">
                  <c:v>0.0375872038239138</c:v>
                </c:pt>
                <c:pt idx="16">
                  <c:v>0.0375872038239138</c:v>
                </c:pt>
                <c:pt idx="17">
                  <c:v>0.0375872038239138</c:v>
                </c:pt>
                <c:pt idx="18">
                  <c:v>0.0375872038239138</c:v>
                </c:pt>
                <c:pt idx="19">
                  <c:v>0.0375872038239138</c:v>
                </c:pt>
                <c:pt idx="20">
                  <c:v>0.0375872038239138</c:v>
                </c:pt>
                <c:pt idx="21">
                  <c:v>0.0375872038239138</c:v>
                </c:pt>
                <c:pt idx="22">
                  <c:v>0.0375872038239138</c:v>
                </c:pt>
                <c:pt idx="23">
                  <c:v>0.0375872038239138</c:v>
                </c:pt>
                <c:pt idx="24">
                  <c:v>0.0375872038239138</c:v>
                </c:pt>
                <c:pt idx="25">
                  <c:v>0.0375872038239138</c:v>
                </c:pt>
                <c:pt idx="26">
                  <c:v>0.0375872038239138</c:v>
                </c:pt>
                <c:pt idx="27">
                  <c:v>0.0375872038239138</c:v>
                </c:pt>
                <c:pt idx="28">
                  <c:v>0.0375872038239138</c:v>
                </c:pt>
                <c:pt idx="29">
                  <c:v>0.0375872038239138</c:v>
                </c:pt>
                <c:pt idx="30">
                  <c:v>0.0375872038239138</c:v>
                </c:pt>
                <c:pt idx="31">
                  <c:v>0.0375872038239138</c:v>
                </c:pt>
                <c:pt idx="32">
                  <c:v>0.0375872038239138</c:v>
                </c:pt>
                <c:pt idx="33">
                  <c:v>0.0375872038239138</c:v>
                </c:pt>
                <c:pt idx="34">
                  <c:v>0.0375872038239138</c:v>
                </c:pt>
                <c:pt idx="35">
                  <c:v>0.0375872038239138</c:v>
                </c:pt>
                <c:pt idx="36">
                  <c:v>0.0375872038239138</c:v>
                </c:pt>
                <c:pt idx="37">
                  <c:v>0.0375872038239138</c:v>
                </c:pt>
                <c:pt idx="38">
                  <c:v>0.0375872038239138</c:v>
                </c:pt>
                <c:pt idx="39">
                  <c:v>0.0375872038239138</c:v>
                </c:pt>
                <c:pt idx="40">
                  <c:v>0.0375872038239138</c:v>
                </c:pt>
                <c:pt idx="41">
                  <c:v>0.0375872038239138</c:v>
                </c:pt>
                <c:pt idx="42">
                  <c:v>0.0375872038239138</c:v>
                </c:pt>
                <c:pt idx="43">
                  <c:v>0.0375872038239138</c:v>
                </c:pt>
                <c:pt idx="44">
                  <c:v>0.0375872038239138</c:v>
                </c:pt>
                <c:pt idx="45">
                  <c:v>0.0375872038239138</c:v>
                </c:pt>
                <c:pt idx="46">
                  <c:v>0.0375872038239138</c:v>
                </c:pt>
                <c:pt idx="47">
                  <c:v>0.0375872038239138</c:v>
                </c:pt>
                <c:pt idx="48">
                  <c:v>0.0375872038239138</c:v>
                </c:pt>
                <c:pt idx="49">
                  <c:v>0.0375872038239138</c:v>
                </c:pt>
                <c:pt idx="50">
                  <c:v>0.0375872038239138</c:v>
                </c:pt>
                <c:pt idx="51">
                  <c:v>0.0375872038239138</c:v>
                </c:pt>
                <c:pt idx="52">
                  <c:v>0.0375872038239138</c:v>
                </c:pt>
                <c:pt idx="53">
                  <c:v>0.0375872038239138</c:v>
                </c:pt>
                <c:pt idx="54">
                  <c:v>0.0375872038239138</c:v>
                </c:pt>
                <c:pt idx="55">
                  <c:v>0.0375872038239138</c:v>
                </c:pt>
                <c:pt idx="56">
                  <c:v>0.0375872038239138</c:v>
                </c:pt>
                <c:pt idx="57">
                  <c:v>0.0375872038239138</c:v>
                </c:pt>
                <c:pt idx="58">
                  <c:v>0.0375872038239138</c:v>
                </c:pt>
                <c:pt idx="59">
                  <c:v>0.0375872038239138</c:v>
                </c:pt>
                <c:pt idx="60">
                  <c:v>0.0375872038239138</c:v>
                </c:pt>
                <c:pt idx="61">
                  <c:v>0.0375872038239138</c:v>
                </c:pt>
                <c:pt idx="62">
                  <c:v>0.0375872038239138</c:v>
                </c:pt>
                <c:pt idx="63">
                  <c:v>0.0375872038239138</c:v>
                </c:pt>
                <c:pt idx="64">
                  <c:v>0.0375872038239138</c:v>
                </c:pt>
                <c:pt idx="65">
                  <c:v>0.0375872038239138</c:v>
                </c:pt>
                <c:pt idx="66">
                  <c:v>0.0375872038239138</c:v>
                </c:pt>
                <c:pt idx="67">
                  <c:v>0.0375872038239138</c:v>
                </c:pt>
                <c:pt idx="68">
                  <c:v>0.0375872038239138</c:v>
                </c:pt>
                <c:pt idx="69">
                  <c:v>0.0375872038239138</c:v>
                </c:pt>
                <c:pt idx="70">
                  <c:v>0.0375872038239138</c:v>
                </c:pt>
                <c:pt idx="71">
                  <c:v>0.0375872038239138</c:v>
                </c:pt>
                <c:pt idx="72">
                  <c:v>0.0375872038239138</c:v>
                </c:pt>
                <c:pt idx="73">
                  <c:v>0.0375872038239138</c:v>
                </c:pt>
                <c:pt idx="74">
                  <c:v>0.0375872038239138</c:v>
                </c:pt>
                <c:pt idx="75">
                  <c:v>0.0375872038239138</c:v>
                </c:pt>
                <c:pt idx="76">
                  <c:v>0.0375872038239138</c:v>
                </c:pt>
                <c:pt idx="77">
                  <c:v>0.0375872038239138</c:v>
                </c:pt>
                <c:pt idx="78">
                  <c:v>0.0375872038239138</c:v>
                </c:pt>
                <c:pt idx="79">
                  <c:v>0.0375872038239138</c:v>
                </c:pt>
                <c:pt idx="80">
                  <c:v>0.0375872038239138</c:v>
                </c:pt>
                <c:pt idx="81">
                  <c:v>0.0375872038239138</c:v>
                </c:pt>
                <c:pt idx="82">
                  <c:v>0.0375872038239138</c:v>
                </c:pt>
                <c:pt idx="83">
                  <c:v>0.0375872038239138</c:v>
                </c:pt>
                <c:pt idx="84">
                  <c:v>0.0375872038239138</c:v>
                </c:pt>
                <c:pt idx="85">
                  <c:v>0.0375872038239138</c:v>
                </c:pt>
                <c:pt idx="86">
                  <c:v>0.0376002144288369</c:v>
                </c:pt>
                <c:pt idx="87">
                  <c:v>0.0376385729008502</c:v>
                </c:pt>
                <c:pt idx="88">
                  <c:v>0.0376849579291616</c:v>
                </c:pt>
                <c:pt idx="89">
                  <c:v>0.0377429499195028</c:v>
                </c:pt>
                <c:pt idx="90">
                  <c:v>0.0378192940519616</c:v>
                </c:pt>
                <c:pt idx="91">
                  <c:v>0.037922556246742</c:v>
                </c:pt>
                <c:pt idx="92">
                  <c:v>0.0380617790507564</c:v>
                </c:pt>
                <c:pt idx="93">
                  <c:v>0.0382275695575362</c:v>
                </c:pt>
                <c:pt idx="94">
                  <c:v>0.0384806064168281</c:v>
                </c:pt>
                <c:pt idx="95">
                  <c:v>0.0388743630167129</c:v>
                </c:pt>
                <c:pt idx="96">
                  <c:v>0.039491751906361</c:v>
                </c:pt>
                <c:pt idx="97">
                  <c:v>0.0404196355542282</c:v>
                </c:pt>
                <c:pt idx="98">
                  <c:v>0.0421914891066023</c:v>
                </c:pt>
              </c:numCache>
            </c:numRef>
          </c:yVal>
        </c:ser>
        <c:ser>
          <c:idx val="2"/>
          <c:order val="2"/>
          <c:tx>
            <c:v>Floored payer swap</c:v>
          </c:tx>
          <c:spPr>
            <a:ln w="28575">
              <a:solidFill>
                <a:srgbClr val="7A4FC9"/>
              </a:solidFill>
              <a:prstDash val="solid"/>
            </a:ln>
          </c:spPr>
          <c:marker>
            <c:symbol val="none"/>
          </c:marker>
          <c:xVal>
            <c:numRef>
              <c:f>Distribution!$A$3:$A$101</c:f>
              <c:numCache>
                <c:formatCode>General</c:formatCode>
                <c:ptCount val="9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0.07000000000000001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</c:v>
                </c:pt>
                <c:pt idx="28">
                  <c:v>0.29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</c:v>
                </c:pt>
                <c:pt idx="55">
                  <c:v>0.5600000000000001</c:v>
                </c:pt>
                <c:pt idx="56">
                  <c:v>0.57</c:v>
                </c:pt>
                <c:pt idx="57">
                  <c:v>0.58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0.6899999999999999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0.8100000000000001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0.9399999999999999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</c:numCache>
            </c:numRef>
          </c:xVal>
          <c:yVal>
            <c:numRef>
              <c:f>Distribution!$D$3:$D$101</c:f>
              <c:numCache>
                <c:formatCode>General</c:formatCode>
                <c:ptCount val="99"/>
                <c:pt idx="0">
                  <c:v>0.0377663930523971</c:v>
                </c:pt>
                <c:pt idx="1">
                  <c:v>0.0377663930523971</c:v>
                </c:pt>
                <c:pt idx="2">
                  <c:v>0.0377663930523971</c:v>
                </c:pt>
                <c:pt idx="3">
                  <c:v>0.0377663930523971</c:v>
                </c:pt>
                <c:pt idx="4">
                  <c:v>0.0377663930523971</c:v>
                </c:pt>
                <c:pt idx="5">
                  <c:v>0.0377663930523971</c:v>
                </c:pt>
                <c:pt idx="6">
                  <c:v>0.0377663930523971</c:v>
                </c:pt>
                <c:pt idx="7">
                  <c:v>0.0377663930523971</c:v>
                </c:pt>
                <c:pt idx="8">
                  <c:v>0.0377663930523971</c:v>
                </c:pt>
                <c:pt idx="9">
                  <c:v>0.0377663930523971</c:v>
                </c:pt>
                <c:pt idx="10">
                  <c:v>0.0377663930523971</c:v>
                </c:pt>
                <c:pt idx="11">
                  <c:v>0.0377663930523971</c:v>
                </c:pt>
                <c:pt idx="12">
                  <c:v>0.0377663930523971</c:v>
                </c:pt>
                <c:pt idx="13">
                  <c:v>0.0377663930523971</c:v>
                </c:pt>
                <c:pt idx="14">
                  <c:v>0.0377663930523971</c:v>
                </c:pt>
                <c:pt idx="15">
                  <c:v>0.0377663930523971</c:v>
                </c:pt>
                <c:pt idx="16">
                  <c:v>0.0377663930523971</c:v>
                </c:pt>
                <c:pt idx="17">
                  <c:v>0.0377663930523971</c:v>
                </c:pt>
                <c:pt idx="18">
                  <c:v>0.0377663930523971</c:v>
                </c:pt>
                <c:pt idx="19">
                  <c:v>0.0377663930523971</c:v>
                </c:pt>
                <c:pt idx="20">
                  <c:v>0.0377663930523971</c:v>
                </c:pt>
                <c:pt idx="21">
                  <c:v>0.0377663930523971</c:v>
                </c:pt>
                <c:pt idx="22">
                  <c:v>0.0377663930523971</c:v>
                </c:pt>
                <c:pt idx="23">
                  <c:v>0.0377663930523971</c:v>
                </c:pt>
                <c:pt idx="24">
                  <c:v>0.0377663930523971</c:v>
                </c:pt>
                <c:pt idx="25">
                  <c:v>0.0377663930523971</c:v>
                </c:pt>
                <c:pt idx="26">
                  <c:v>0.0377663930523971</c:v>
                </c:pt>
                <c:pt idx="27">
                  <c:v>0.0377663930523971</c:v>
                </c:pt>
                <c:pt idx="28">
                  <c:v>0.0377663930523971</c:v>
                </c:pt>
                <c:pt idx="29">
                  <c:v>0.0377663930523971</c:v>
                </c:pt>
                <c:pt idx="30">
                  <c:v>0.0377663930523971</c:v>
                </c:pt>
                <c:pt idx="31">
                  <c:v>0.0377663930523971</c:v>
                </c:pt>
                <c:pt idx="32">
                  <c:v>0.0377663930523971</c:v>
                </c:pt>
                <c:pt idx="33">
                  <c:v>0.0377663930523971</c:v>
                </c:pt>
                <c:pt idx="34">
                  <c:v>0.0377663930523971</c:v>
                </c:pt>
                <c:pt idx="35">
                  <c:v>0.0377663930523971</c:v>
                </c:pt>
                <c:pt idx="36">
                  <c:v>0.0377663930523971</c:v>
                </c:pt>
                <c:pt idx="37">
                  <c:v>0.0377663930523971</c:v>
                </c:pt>
                <c:pt idx="38">
                  <c:v>0.0377663930523971</c:v>
                </c:pt>
                <c:pt idx="39">
                  <c:v>0.0377663930523971</c:v>
                </c:pt>
                <c:pt idx="40">
                  <c:v>0.0377663930523971</c:v>
                </c:pt>
                <c:pt idx="41">
                  <c:v>0.0377663930523971</c:v>
                </c:pt>
                <c:pt idx="42">
                  <c:v>0.0377663930523971</c:v>
                </c:pt>
                <c:pt idx="43">
                  <c:v>0.0377663930523971</c:v>
                </c:pt>
                <c:pt idx="44">
                  <c:v>0.0377663930523971</c:v>
                </c:pt>
                <c:pt idx="45">
                  <c:v>0.0377663930523971</c:v>
                </c:pt>
                <c:pt idx="46">
                  <c:v>0.0377663930523971</c:v>
                </c:pt>
                <c:pt idx="47">
                  <c:v>0.0377663930523971</c:v>
                </c:pt>
                <c:pt idx="48">
                  <c:v>0.0377663930523971</c:v>
                </c:pt>
                <c:pt idx="49">
                  <c:v>0.0377663930523971</c:v>
                </c:pt>
                <c:pt idx="50">
                  <c:v>0.0377663930523971</c:v>
                </c:pt>
                <c:pt idx="51">
                  <c:v>0.0377663930523971</c:v>
                </c:pt>
                <c:pt idx="52">
                  <c:v>0.0377663930523971</c:v>
                </c:pt>
                <c:pt idx="53">
                  <c:v>0.0377663930523971</c:v>
                </c:pt>
                <c:pt idx="54">
                  <c:v>0.0377663930523971</c:v>
                </c:pt>
                <c:pt idx="55">
                  <c:v>0.0377663930523971</c:v>
                </c:pt>
                <c:pt idx="56">
                  <c:v>0.0377663930523971</c:v>
                </c:pt>
                <c:pt idx="57">
                  <c:v>0.0377663930523971</c:v>
                </c:pt>
                <c:pt idx="58">
                  <c:v>0.0377663930523971</c:v>
                </c:pt>
                <c:pt idx="59">
                  <c:v>0.0377663930523971</c:v>
                </c:pt>
                <c:pt idx="60">
                  <c:v>0.0377663930523971</c:v>
                </c:pt>
                <c:pt idx="61">
                  <c:v>0.0377663930523971</c:v>
                </c:pt>
                <c:pt idx="62">
                  <c:v>0.0377663930523971</c:v>
                </c:pt>
                <c:pt idx="63">
                  <c:v>0.0377663930523971</c:v>
                </c:pt>
                <c:pt idx="64">
                  <c:v>0.0377663930523971</c:v>
                </c:pt>
                <c:pt idx="65">
                  <c:v>0.0377663930523971</c:v>
                </c:pt>
                <c:pt idx="66">
                  <c:v>0.0377663930523971</c:v>
                </c:pt>
                <c:pt idx="67">
                  <c:v>0.0377663930523971</c:v>
                </c:pt>
                <c:pt idx="68">
                  <c:v>0.0377663930523971</c:v>
                </c:pt>
                <c:pt idx="69">
                  <c:v>0.0377663930523971</c:v>
                </c:pt>
                <c:pt idx="70">
                  <c:v>0.0377663930523971</c:v>
                </c:pt>
                <c:pt idx="71">
                  <c:v>0.0377663930523971</c:v>
                </c:pt>
                <c:pt idx="72">
                  <c:v>0.0377663930523971</c:v>
                </c:pt>
                <c:pt idx="73">
                  <c:v>0.0377663930523971</c:v>
                </c:pt>
                <c:pt idx="74">
                  <c:v>0.0377663930523971</c:v>
                </c:pt>
                <c:pt idx="75">
                  <c:v>0.0377663930523971</c:v>
                </c:pt>
                <c:pt idx="76">
                  <c:v>0.0377663930523971</c:v>
                </c:pt>
                <c:pt idx="77">
                  <c:v>0.0377663930523971</c:v>
                </c:pt>
                <c:pt idx="78">
                  <c:v>0.0377663930523971</c:v>
                </c:pt>
                <c:pt idx="79">
                  <c:v>0.0377663930523971</c:v>
                </c:pt>
                <c:pt idx="80">
                  <c:v>0.0377663930523971</c:v>
                </c:pt>
                <c:pt idx="81">
                  <c:v>0.0377663930523971</c:v>
                </c:pt>
                <c:pt idx="82">
                  <c:v>0.0377663930523971</c:v>
                </c:pt>
                <c:pt idx="83">
                  <c:v>0.0377663930523971</c:v>
                </c:pt>
                <c:pt idx="84">
                  <c:v>0.0377663930523971</c:v>
                </c:pt>
                <c:pt idx="85">
                  <c:v>0.0377663930523971</c:v>
                </c:pt>
                <c:pt idx="86">
                  <c:v>0.0377663930523971</c:v>
                </c:pt>
                <c:pt idx="87">
                  <c:v>0.0377663930523971</c:v>
                </c:pt>
                <c:pt idx="88">
                  <c:v>0.0377663930523971</c:v>
                </c:pt>
                <c:pt idx="89">
                  <c:v>0.0377663930523971</c:v>
                </c:pt>
                <c:pt idx="90">
                  <c:v>0.0377663930523971</c:v>
                </c:pt>
                <c:pt idx="91">
                  <c:v>0.0377663930523971</c:v>
                </c:pt>
                <c:pt idx="92">
                  <c:v>0.0377663930523971</c:v>
                </c:pt>
                <c:pt idx="93">
                  <c:v>0.0377663930523971</c:v>
                </c:pt>
                <c:pt idx="94">
                  <c:v>0.0377663930523971</c:v>
                </c:pt>
                <c:pt idx="95">
                  <c:v>0.0377663930523971</c:v>
                </c:pt>
                <c:pt idx="96">
                  <c:v>0.0377663930523971</c:v>
                </c:pt>
                <c:pt idx="97">
                  <c:v>0.0377663930523971</c:v>
                </c:pt>
                <c:pt idx="98">
                  <c:v>0.0377663930523971</c:v>
                </c:pt>
              </c:numCache>
            </c:numRef>
          </c:yVal>
        </c:ser>
        <c:ser>
          <c:idx val="3"/>
          <c:order val="3"/>
          <c:tx>
            <c:v>Cap</c:v>
          </c:tx>
          <c:spPr>
            <a:ln w="28575">
              <a:solidFill>
                <a:srgbClr val="EB6834"/>
              </a:solidFill>
              <a:prstDash val="solid"/>
            </a:ln>
          </c:spPr>
          <c:marker>
            <c:symbol val="none"/>
          </c:marker>
          <c:xVal>
            <c:numRef>
              <c:f>Distribution!$A$3:$A$101</c:f>
              <c:numCache>
                <c:formatCode>General</c:formatCode>
                <c:ptCount val="9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0.07000000000000001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</c:v>
                </c:pt>
                <c:pt idx="28">
                  <c:v>0.29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</c:v>
                </c:pt>
                <c:pt idx="55">
                  <c:v>0.5600000000000001</c:v>
                </c:pt>
                <c:pt idx="56">
                  <c:v>0.57</c:v>
                </c:pt>
                <c:pt idx="57">
                  <c:v>0.58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0.6899999999999999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0.8100000000000001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0.9399999999999999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</c:numCache>
            </c:numRef>
          </c:xVal>
          <c:yVal>
            <c:numRef>
              <c:f>Distribution!$E$3:$E$101</c:f>
              <c:numCache>
                <c:formatCode>General</c:formatCode>
                <c:ptCount val="99"/>
                <c:pt idx="0">
                  <c:v>0.0213659933793444</c:v>
                </c:pt>
                <c:pt idx="1">
                  <c:v>0.0225191614899487</c:v>
                </c:pt>
                <c:pt idx="2">
                  <c:v>0.0233616460499654</c:v>
                </c:pt>
                <c:pt idx="3">
                  <c:v>0.0240705712141628</c:v>
                </c:pt>
                <c:pt idx="4">
                  <c:v>0.0247562657312661</c:v>
                </c:pt>
                <c:pt idx="5">
                  <c:v>0.0254318353887555</c:v>
                </c:pt>
                <c:pt idx="6">
                  <c:v>0.0260662115264709</c:v>
                </c:pt>
                <c:pt idx="7">
                  <c:v>0.0265907412656496</c:v>
                </c:pt>
                <c:pt idx="8">
                  <c:v>0.0271193220207536</c:v>
                </c:pt>
                <c:pt idx="9">
                  <c:v>0.0276355120373307</c:v>
                </c:pt>
                <c:pt idx="10">
                  <c:v>0.0280944065906805</c:v>
                </c:pt>
                <c:pt idx="11">
                  <c:v>0.0285754966346346</c:v>
                </c:pt>
                <c:pt idx="12">
                  <c:v>0.0290090913860746</c:v>
                </c:pt>
                <c:pt idx="13">
                  <c:v>0.0294050355889657</c:v>
                </c:pt>
                <c:pt idx="14">
                  <c:v>0.029824230197493</c:v>
                </c:pt>
                <c:pt idx="15">
                  <c:v>0.0302126023919246</c:v>
                </c:pt>
                <c:pt idx="16">
                  <c:v>0.0305821398649558</c:v>
                </c:pt>
                <c:pt idx="17">
                  <c:v>0.0309207142227241</c:v>
                </c:pt>
                <c:pt idx="18">
                  <c:v>0.031291310736457</c:v>
                </c:pt>
                <c:pt idx="19">
                  <c:v>0.0316647232247723</c:v>
                </c:pt>
                <c:pt idx="20">
                  <c:v>0.0320096641291115</c:v>
                </c:pt>
                <c:pt idx="21">
                  <c:v>0.0323487655446144</c:v>
                </c:pt>
                <c:pt idx="22">
                  <c:v>0.0326441660028656</c:v>
                </c:pt>
                <c:pt idx="23">
                  <c:v>0.0329529734983252</c:v>
                </c:pt>
                <c:pt idx="24">
                  <c:v>0.0332651881278757</c:v>
                </c:pt>
                <c:pt idx="25">
                  <c:v>0.0335226480126122</c:v>
                </c:pt>
                <c:pt idx="26">
                  <c:v>0.0338105435786146</c:v>
                </c:pt>
                <c:pt idx="27">
                  <c:v>0.0341143017659909</c:v>
                </c:pt>
                <c:pt idx="28">
                  <c:v>0.034384147599224</c:v>
                </c:pt>
                <c:pt idx="29">
                  <c:v>0.0346460860292826</c:v>
                </c:pt>
                <c:pt idx="30">
                  <c:v>0.0348718038396483</c:v>
                </c:pt>
                <c:pt idx="31">
                  <c:v>0.0351239996662739</c:v>
                </c:pt>
                <c:pt idx="32">
                  <c:v>0.0353715482568152</c:v>
                </c:pt>
                <c:pt idx="33">
                  <c:v>0.0356468194385896</c:v>
                </c:pt>
                <c:pt idx="34">
                  <c:v>0.0359122146139774</c:v>
                </c:pt>
                <c:pt idx="35">
                  <c:v>0.0361646694811185</c:v>
                </c:pt>
                <c:pt idx="36">
                  <c:v>0.0363963805385142</c:v>
                </c:pt>
                <c:pt idx="37">
                  <c:v>0.0366373137530843</c:v>
                </c:pt>
                <c:pt idx="38">
                  <c:v>0.0368818971946972</c:v>
                </c:pt>
                <c:pt idx="39">
                  <c:v>0.0371331921149844</c:v>
                </c:pt>
                <c:pt idx="40">
                  <c:v>0.037362655959393</c:v>
                </c:pt>
                <c:pt idx="41">
                  <c:v>0.0375840745671875</c:v>
                </c:pt>
                <c:pt idx="42">
                  <c:v>0.0378116010002115</c:v>
                </c:pt>
                <c:pt idx="43">
                  <c:v>0.0380001145164969</c:v>
                </c:pt>
                <c:pt idx="44">
                  <c:v>0.0382301395225642</c:v>
                </c:pt>
                <c:pt idx="45">
                  <c:v>0.0384560082500115</c:v>
                </c:pt>
                <c:pt idx="46">
                  <c:v>0.0386789272228062</c:v>
                </c:pt>
                <c:pt idx="47">
                  <c:v>0.0388804906963495</c:v>
                </c:pt>
                <c:pt idx="48">
                  <c:v>0.0390951092954618</c:v>
                </c:pt>
                <c:pt idx="49">
                  <c:v>0.0393071359568935</c:v>
                </c:pt>
                <c:pt idx="50">
                  <c:v>0.0394680922293185</c:v>
                </c:pt>
                <c:pt idx="51">
                  <c:v>0.0396399097595248</c:v>
                </c:pt>
                <c:pt idx="52">
                  <c:v>0.039841770921882</c:v>
                </c:pt>
                <c:pt idx="53">
                  <c:v>0.0400292151376948</c:v>
                </c:pt>
                <c:pt idx="54">
                  <c:v>0.0402159528061169</c:v>
                </c:pt>
                <c:pt idx="55">
                  <c:v>0.0404103413591655</c:v>
                </c:pt>
                <c:pt idx="56">
                  <c:v>0.0405850525476815</c:v>
                </c:pt>
                <c:pt idx="57">
                  <c:v>0.0407732319389753</c:v>
                </c:pt>
                <c:pt idx="58">
                  <c:v>0.0409476852043673</c:v>
                </c:pt>
                <c:pt idx="59">
                  <c:v>0.0411186205746345</c:v>
                </c:pt>
                <c:pt idx="60">
                  <c:v>0.0412935775704</c:v>
                </c:pt>
                <c:pt idx="61">
                  <c:v>0.041454419753234</c:v>
                </c:pt>
                <c:pt idx="62">
                  <c:v>0.0415986502529296</c:v>
                </c:pt>
                <c:pt idx="63">
                  <c:v>0.0417588716478966</c:v>
                </c:pt>
                <c:pt idx="64">
                  <c:v>0.0419206000591675</c:v>
                </c:pt>
                <c:pt idx="65">
                  <c:v>0.0420852447458746</c:v>
                </c:pt>
                <c:pt idx="66">
                  <c:v>0.04224098213551</c:v>
                </c:pt>
                <c:pt idx="67">
                  <c:v>0.0424262946452104</c:v>
                </c:pt>
                <c:pt idx="68">
                  <c:v>0.0425807144058178</c:v>
                </c:pt>
                <c:pt idx="69">
                  <c:v>0.0427212640693366</c:v>
                </c:pt>
                <c:pt idx="70">
                  <c:v>0.0428736298429291</c:v>
                </c:pt>
                <c:pt idx="71">
                  <c:v>0.0430021442016041</c:v>
                </c:pt>
                <c:pt idx="72">
                  <c:v>0.0431592807200002</c:v>
                </c:pt>
                <c:pt idx="73">
                  <c:v>0.0433068751512423</c:v>
                </c:pt>
                <c:pt idx="74">
                  <c:v>0.0434562935813674</c:v>
                </c:pt>
                <c:pt idx="75">
                  <c:v>0.0435848357093111</c:v>
                </c:pt>
                <c:pt idx="76">
                  <c:v>0.0437172642714047</c:v>
                </c:pt>
                <c:pt idx="77">
                  <c:v>0.0438485752122216</c:v>
                </c:pt>
                <c:pt idx="78">
                  <c:v>0.0439877627375532</c:v>
                </c:pt>
                <c:pt idx="79">
                  <c:v>0.044118968881714</c:v>
                </c:pt>
                <c:pt idx="80">
                  <c:v>0.044245971076873</c:v>
                </c:pt>
                <c:pt idx="81">
                  <c:v>0.0443496410287646</c:v>
                </c:pt>
                <c:pt idx="82">
                  <c:v>0.044468320567414</c:v>
                </c:pt>
                <c:pt idx="83">
                  <c:v>0.0445825532759698</c:v>
                </c:pt>
                <c:pt idx="84">
                  <c:v>0.0447032535749497</c:v>
                </c:pt>
                <c:pt idx="85">
                  <c:v>0.0448328040806814</c:v>
                </c:pt>
                <c:pt idx="86">
                  <c:v>0.0449558164443454</c:v>
                </c:pt>
                <c:pt idx="87">
                  <c:v>0.0450712382960224</c:v>
                </c:pt>
                <c:pt idx="88">
                  <c:v>0.0451922643333546</c:v>
                </c:pt>
                <c:pt idx="89">
                  <c:v>0.0453128665913485</c:v>
                </c:pt>
                <c:pt idx="90">
                  <c:v>0.0454258499141514</c:v>
                </c:pt>
                <c:pt idx="91">
                  <c:v>0.0455353683861375</c:v>
                </c:pt>
                <c:pt idx="92">
                  <c:v>0.0456418544988521</c:v>
                </c:pt>
                <c:pt idx="93">
                  <c:v>0.0457578166528876</c:v>
                </c:pt>
                <c:pt idx="94">
                  <c:v>0.0458611527753937</c:v>
                </c:pt>
                <c:pt idx="95">
                  <c:v>0.045974815757508</c:v>
                </c:pt>
                <c:pt idx="96">
                  <c:v>0.0461038721401759</c:v>
                </c:pt>
                <c:pt idx="97">
                  <c:v>0.0462414095527563</c:v>
                </c:pt>
                <c:pt idx="98">
                  <c:v>0.0463840417504863</c:v>
                </c:pt>
              </c:numCache>
            </c:numRef>
          </c:yVal>
        </c:ser>
        <c:ser>
          <c:idx val="4"/>
          <c:order val="4"/>
          <c:tx>
            <c:v>Zero-cost collar</c:v>
          </c:tx>
          <c:spPr>
            <a:ln w="28575">
              <a:solidFill>
                <a:srgbClr val="1BAF7A"/>
              </a:solidFill>
              <a:prstDash val="solid"/>
            </a:ln>
          </c:spPr>
          <c:marker>
            <c:symbol val="none"/>
          </c:marker>
          <c:xVal>
            <c:numRef>
              <c:f>Distribution!$A$3:$A$101</c:f>
              <c:numCache>
                <c:formatCode>General</c:formatCode>
                <c:ptCount val="9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0.07000000000000001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</c:v>
                </c:pt>
                <c:pt idx="28">
                  <c:v>0.29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</c:v>
                </c:pt>
                <c:pt idx="55">
                  <c:v>0.5600000000000001</c:v>
                </c:pt>
                <c:pt idx="56">
                  <c:v>0.57</c:v>
                </c:pt>
                <c:pt idx="57">
                  <c:v>0.58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0.6899999999999999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0.8100000000000001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0.9399999999999999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</c:numCache>
            </c:numRef>
          </c:xVal>
          <c:yVal>
            <c:numRef>
              <c:f>Distribution!$F$3:$F$101</c:f>
              <c:numCache>
                <c:formatCode>General</c:formatCode>
                <c:ptCount val="99"/>
                <c:pt idx="0">
                  <c:v>0.0317615445692991</c:v>
                </c:pt>
                <c:pt idx="1">
                  <c:v>0.0318535787012978</c:v>
                </c:pt>
                <c:pt idx="2">
                  <c:v>0.0319282463461681</c:v>
                </c:pt>
                <c:pt idx="3">
                  <c:v>0.0320095567821664</c:v>
                </c:pt>
                <c:pt idx="4">
                  <c:v>0.0320898512244243</c:v>
                </c:pt>
                <c:pt idx="5">
                  <c:v>0.0321782853899077</c:v>
                </c:pt>
                <c:pt idx="6">
                  <c:v>0.0322665341611324</c:v>
                </c:pt>
                <c:pt idx="7">
                  <c:v>0.0323422073276983</c:v>
                </c:pt>
                <c:pt idx="8">
                  <c:v>0.0324315751782466</c:v>
                </c:pt>
                <c:pt idx="9">
                  <c:v>0.0325210384086562</c:v>
                </c:pt>
                <c:pt idx="10">
                  <c:v>0.0326136984133227</c:v>
                </c:pt>
                <c:pt idx="11">
                  <c:v>0.0327036186596146</c:v>
                </c:pt>
                <c:pt idx="12">
                  <c:v>0.0327979659434402</c:v>
                </c:pt>
                <c:pt idx="13">
                  <c:v>0.0328964328118954</c:v>
                </c:pt>
                <c:pt idx="14">
                  <c:v>0.032995640145128</c:v>
                </c:pt>
                <c:pt idx="15">
                  <c:v>0.0331028371873031</c:v>
                </c:pt>
                <c:pt idx="16">
                  <c:v>0.0332134227047745</c:v>
                </c:pt>
                <c:pt idx="17">
                  <c:v>0.0333174672913459</c:v>
                </c:pt>
                <c:pt idx="18">
                  <c:v>0.0334315441153372</c:v>
                </c:pt>
                <c:pt idx="19">
                  <c:v>0.0335585712546576</c:v>
                </c:pt>
                <c:pt idx="20">
                  <c:v>0.0336683175106674</c:v>
                </c:pt>
                <c:pt idx="21">
                  <c:v>0.0337751632569098</c:v>
                </c:pt>
                <c:pt idx="22">
                  <c:v>0.0338891814361479</c:v>
                </c:pt>
                <c:pt idx="23">
                  <c:v>0.0340028753116344</c:v>
                </c:pt>
                <c:pt idx="24">
                  <c:v>0.0341221024487358</c:v>
                </c:pt>
                <c:pt idx="25">
                  <c:v>0.0342448188078105</c:v>
                </c:pt>
                <c:pt idx="26">
                  <c:v>0.0343848756568434</c:v>
                </c:pt>
                <c:pt idx="27">
                  <c:v>0.0345344262266873</c:v>
                </c:pt>
                <c:pt idx="28">
                  <c:v>0.0346527841272523</c:v>
                </c:pt>
                <c:pt idx="29">
                  <c:v>0.0348007621337832</c:v>
                </c:pt>
                <c:pt idx="30">
                  <c:v>0.0349180856105397</c:v>
                </c:pt>
                <c:pt idx="31">
                  <c:v>0.0350474594768686</c:v>
                </c:pt>
                <c:pt idx="32">
                  <c:v>0.0351821888213297</c:v>
                </c:pt>
                <c:pt idx="33">
                  <c:v>0.0353225730534829</c:v>
                </c:pt>
                <c:pt idx="34">
                  <c:v>0.0354573359913572</c:v>
                </c:pt>
                <c:pt idx="35">
                  <c:v>0.0356090715659692</c:v>
                </c:pt>
                <c:pt idx="36">
                  <c:v>0.035755836757231</c:v>
                </c:pt>
                <c:pt idx="37">
                  <c:v>0.0359302230010593</c:v>
                </c:pt>
                <c:pt idx="38">
                  <c:v>0.0360923823587507</c:v>
                </c:pt>
                <c:pt idx="39">
                  <c:v>0.03623530042991</c:v>
                </c:pt>
                <c:pt idx="40">
                  <c:v>0.0363885721953164</c:v>
                </c:pt>
                <c:pt idx="41">
                  <c:v>0.0365341856226355</c:v>
                </c:pt>
                <c:pt idx="42">
                  <c:v>0.0366990851705963</c:v>
                </c:pt>
                <c:pt idx="43">
                  <c:v>0.0368499821676292</c:v>
                </c:pt>
                <c:pt idx="44">
                  <c:v>0.0370194349682733</c:v>
                </c:pt>
                <c:pt idx="45">
                  <c:v>0.0371789460276883</c:v>
                </c:pt>
                <c:pt idx="46">
                  <c:v>0.0373350603053592</c:v>
                </c:pt>
                <c:pt idx="47">
                  <c:v>0.0374817907673401</c:v>
                </c:pt>
                <c:pt idx="48">
                  <c:v>0.0376197940743128</c:v>
                </c:pt>
                <c:pt idx="49">
                  <c:v>0.037777370655475</c:v>
                </c:pt>
                <c:pt idx="50">
                  <c:v>0.03792489498143</c:v>
                </c:pt>
                <c:pt idx="51">
                  <c:v>0.0380953641066732</c:v>
                </c:pt>
                <c:pt idx="52">
                  <c:v>0.0382434332842003</c:v>
                </c:pt>
                <c:pt idx="53">
                  <c:v>0.0384034698557978</c:v>
                </c:pt>
                <c:pt idx="54">
                  <c:v>0.0385469356005275</c:v>
                </c:pt>
                <c:pt idx="55">
                  <c:v>0.038696085789899</c:v>
                </c:pt>
                <c:pt idx="56">
                  <c:v>0.0388558321721976</c:v>
                </c:pt>
                <c:pt idx="57">
                  <c:v>0.0390014500131969</c:v>
                </c:pt>
                <c:pt idx="58">
                  <c:v>0.0391378294994653</c:v>
                </c:pt>
                <c:pt idx="59">
                  <c:v>0.0392835286596178</c:v>
                </c:pt>
                <c:pt idx="60">
                  <c:v>0.0394281872678419</c:v>
                </c:pt>
                <c:pt idx="61">
                  <c:v>0.0395625976188782</c:v>
                </c:pt>
                <c:pt idx="62">
                  <c:v>0.0397146639840184</c:v>
                </c:pt>
                <c:pt idx="63">
                  <c:v>0.0398584277706305</c:v>
                </c:pt>
                <c:pt idx="64">
                  <c:v>0.0400068824955027</c:v>
                </c:pt>
                <c:pt idx="65">
                  <c:v>0.0401544831482751</c:v>
                </c:pt>
                <c:pt idx="66">
                  <c:v>0.0403133972118173</c:v>
                </c:pt>
                <c:pt idx="67">
                  <c:v>0.0404451288942451</c:v>
                </c:pt>
                <c:pt idx="68">
                  <c:v>0.0405785832660712</c:v>
                </c:pt>
                <c:pt idx="69">
                  <c:v>0.0407057212034848</c:v>
                </c:pt>
                <c:pt idx="70">
                  <c:v>0.0408301171995238</c:v>
                </c:pt>
                <c:pt idx="71">
                  <c:v>0.0409703900830084</c:v>
                </c:pt>
                <c:pt idx="72">
                  <c:v>0.041100549669605</c:v>
                </c:pt>
                <c:pt idx="73">
                  <c:v>0.041243995702215</c:v>
                </c:pt>
                <c:pt idx="74">
                  <c:v>0.041382717023643</c:v>
                </c:pt>
                <c:pt idx="75">
                  <c:v>0.0415138879258986</c:v>
                </c:pt>
                <c:pt idx="76">
                  <c:v>0.04164548609899</c:v>
                </c:pt>
                <c:pt idx="77">
                  <c:v>0.0417707114934061</c:v>
                </c:pt>
                <c:pt idx="78">
                  <c:v>0.0419083404509813</c:v>
                </c:pt>
                <c:pt idx="79">
                  <c:v>0.0420215994537406</c:v>
                </c:pt>
                <c:pt idx="80">
                  <c:v>0.042150405171213</c:v>
                </c:pt>
                <c:pt idx="81">
                  <c:v>0.0422567387178708</c:v>
                </c:pt>
                <c:pt idx="82">
                  <c:v>0.042369789717236</c:v>
                </c:pt>
                <c:pt idx="83">
                  <c:v>0.0424711145348351</c:v>
                </c:pt>
                <c:pt idx="84">
                  <c:v>0.0425951382192616</c:v>
                </c:pt>
                <c:pt idx="85">
                  <c:v>0.0427215909119388</c:v>
                </c:pt>
                <c:pt idx="86">
                  <c:v>0.0428374321513579</c:v>
                </c:pt>
                <c:pt idx="87">
                  <c:v>0.0429598707110442</c:v>
                </c:pt>
                <c:pt idx="88">
                  <c:v>0.0430773678590212</c:v>
                </c:pt>
                <c:pt idx="89">
                  <c:v>0.0431941377105451</c:v>
                </c:pt>
                <c:pt idx="90">
                  <c:v>0.0433078491170067</c:v>
                </c:pt>
                <c:pt idx="91">
                  <c:v>0.0434167629426139</c:v>
                </c:pt>
                <c:pt idx="92">
                  <c:v>0.0435230894535415</c:v>
                </c:pt>
                <c:pt idx="93">
                  <c:v>0.043638042393341</c:v>
                </c:pt>
                <c:pt idx="94">
                  <c:v>0.0437419240577667</c:v>
                </c:pt>
                <c:pt idx="95">
                  <c:v>0.0438539825318582</c:v>
                </c:pt>
                <c:pt idx="96">
                  <c:v>0.0439813963256345</c:v>
                </c:pt>
                <c:pt idx="97">
                  <c:v>0.0441226869256252</c:v>
                </c:pt>
                <c:pt idx="98">
                  <c:v>0.0442655265324431</c:v>
                </c:pt>
              </c:numCache>
            </c:numRef>
          </c:yVal>
        </c:ser>
        <c:axId val="50040001"/>
        <c:axId val="50040002"/>
      </c:scatterChart>
      <c:valAx>
        <c:axId val="50040001"/>
        <c:scaling>
          <c:orientation val="minMax"/>
          <c:max val="1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Percentile of scenarios</a:t>
                </a:r>
              </a:p>
            </c:rich>
          </c:tx>
          <c:layout/>
        </c:title>
        <c:numFmt formatCode="0%" sourceLinked="0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  <c:max val="0.06"/>
          <c:min val="0.015"/>
        </c:scaling>
        <c:axPos val="l"/>
        <c:majorGridlines>
          <c:spPr>
            <a:ln>
              <a:solidFill>
                <a:srgbClr val="E6E6E6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All-in cost</a:t>
                </a:r>
              </a:p>
            </c:rich>
          </c:tx>
          <c:layout/>
        </c:title>
        <c:numFmt formatCode="0.0%" sourceLinked="0"/>
        <c:tickLblPos val="nextTo"/>
        <c:crossAx val="50040001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baseline="0"/>
            </a:pPr>
            <a:r>
              <a:rPr lang="en-US" sz="1200" b="1" baseline="0"/>
              <a:t>Simulated Euribor 3M fixings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v>5% / 95%</c:v>
          </c:tx>
          <c:spPr>
            <a:ln w="25400">
              <a:solidFill>
                <a:srgbClr val="9CC1EA"/>
              </a:solidFill>
              <a:prstDash val="dash"/>
            </a:ln>
          </c:spPr>
          <c:marker>
            <c:symbol val="none"/>
          </c:marker>
          <c:xVal>
            <c:strRef>
              <c:f>Distribution!$I$3:$I$42</c:f>
              <c:strCache>
                <c:ptCount val="40"/>
                <c:pt idx="0">
                  <c:v>0</c:v>
                </c:pt>
                <c:pt idx="1">
                  <c:v>0.252054794520548</c:v>
                </c:pt>
                <c:pt idx="2">
                  <c:v>0.498630136986301</c:v>
                </c:pt>
                <c:pt idx="3">
                  <c:v>0.747945205479452</c:v>
                </c:pt>
                <c:pt idx="4">
                  <c:v>1</c:v>
                </c:pt>
                <c:pt idx="5">
                  <c:v>1.25205479452055</c:v>
                </c:pt>
                <c:pt idx="6">
                  <c:v>1.5013698630137</c:v>
                </c:pt>
                <c:pt idx="7">
                  <c:v>1.75068493150685</c:v>
                </c:pt>
                <c:pt idx="8">
                  <c:v>2.0027397260274</c:v>
                </c:pt>
                <c:pt idx="9">
                  <c:v>2.25479452054795</c:v>
                </c:pt>
                <c:pt idx="10">
                  <c:v>2.5013698630137</c:v>
                </c:pt>
                <c:pt idx="11">
                  <c:v>2.75068493150685</c:v>
                </c:pt>
                <c:pt idx="12">
                  <c:v>3.0027397260274</c:v>
                </c:pt>
                <c:pt idx="13">
                  <c:v>3.25479452054795</c:v>
                </c:pt>
                <c:pt idx="14">
                  <c:v>3.5013698630137</c:v>
                </c:pt>
                <c:pt idx="15">
                  <c:v>3.75068493150685</c:v>
                </c:pt>
                <c:pt idx="16">
                  <c:v>4.0027397260274</c:v>
                </c:pt>
                <c:pt idx="17">
                  <c:v>4.25479452054795</c:v>
                </c:pt>
                <c:pt idx="18">
                  <c:v>4.5013698630137</c:v>
                </c:pt>
                <c:pt idx="19">
                  <c:v>4.75068493150685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strCache>
            </c:strRef>
          </c:xVal>
          <c:yVal>
            <c:numRef>
              <c:f>Distribution!$K$3:$K$42</c:f>
              <c:numCache>
                <c:formatCode>General</c:formatCode>
                <c:ptCount val="40"/>
                <c:pt idx="0">
                  <c:v>0.0203000000000001</c:v>
                </c:pt>
                <c:pt idx="1">
                  <c:v>0.0131931298516957</c:v>
                </c:pt>
                <c:pt idx="2">
                  <c:v>0.0106807696674949</c:v>
                </c:pt>
                <c:pt idx="3">
                  <c:v>0.008577927143209201</c:v>
                </c:pt>
                <c:pt idx="4">
                  <c:v>0.00779951709205478</c:v>
                </c:pt>
                <c:pt idx="5">
                  <c:v>0.00613478610643807</c:v>
                </c:pt>
                <c:pt idx="6">
                  <c:v>0.0049199348861819</c:v>
                </c:pt>
                <c:pt idx="7">
                  <c:v>0.00357904944732372</c:v>
                </c:pt>
                <c:pt idx="8">
                  <c:v>0.00424321689372121</c:v>
                </c:pt>
                <c:pt idx="9">
                  <c:v>0.00336274608184112</c:v>
                </c:pt>
                <c:pt idx="10">
                  <c:v>0.00220120712965919</c:v>
                </c:pt>
                <c:pt idx="11">
                  <c:v>0.00111532031535022</c:v>
                </c:pt>
                <c:pt idx="12">
                  <c:v>0.00165685217304261</c:v>
                </c:pt>
                <c:pt idx="13">
                  <c:v>0.0009024327963778681</c:v>
                </c:pt>
                <c:pt idx="14">
                  <c:v>0.000340484129809151</c:v>
                </c:pt>
                <c:pt idx="15">
                  <c:v>-0.000822283012723918</c:v>
                </c:pt>
                <c:pt idx="16">
                  <c:v>-0.000208063008461663</c:v>
                </c:pt>
                <c:pt idx="17">
                  <c:v>-0.00122911530982654</c:v>
                </c:pt>
                <c:pt idx="18">
                  <c:v>-0.00208300669595604</c:v>
                </c:pt>
                <c:pt idx="19">
                  <c:v>-0.00280267610457925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</c:ser>
        <c:ser>
          <c:idx val="1"/>
          <c:order val="1"/>
          <c:tx>
            <c:v>25% / 75%</c:v>
          </c:tx>
          <c:spPr>
            <a:ln w="25400">
              <a:solidFill>
                <a:srgbClr val="4F93DC"/>
              </a:solidFill>
              <a:prstDash val="solid"/>
            </a:ln>
          </c:spPr>
          <c:marker>
            <c:symbol val="none"/>
          </c:marker>
          <c:xVal>
            <c:strRef>
              <c:f>Distribution!$I$3:$I$42</c:f>
              <c:strCache>
                <c:ptCount val="40"/>
                <c:pt idx="0">
                  <c:v>0</c:v>
                </c:pt>
                <c:pt idx="1">
                  <c:v>0.252054794520548</c:v>
                </c:pt>
                <c:pt idx="2">
                  <c:v>0.498630136986301</c:v>
                </c:pt>
                <c:pt idx="3">
                  <c:v>0.747945205479452</c:v>
                </c:pt>
                <c:pt idx="4">
                  <c:v>1</c:v>
                </c:pt>
                <c:pt idx="5">
                  <c:v>1.25205479452055</c:v>
                </c:pt>
                <c:pt idx="6">
                  <c:v>1.5013698630137</c:v>
                </c:pt>
                <c:pt idx="7">
                  <c:v>1.75068493150685</c:v>
                </c:pt>
                <c:pt idx="8">
                  <c:v>2.0027397260274</c:v>
                </c:pt>
                <c:pt idx="9">
                  <c:v>2.25479452054795</c:v>
                </c:pt>
                <c:pt idx="10">
                  <c:v>2.5013698630137</c:v>
                </c:pt>
                <c:pt idx="11">
                  <c:v>2.75068493150685</c:v>
                </c:pt>
                <c:pt idx="12">
                  <c:v>3.0027397260274</c:v>
                </c:pt>
                <c:pt idx="13">
                  <c:v>3.25479452054795</c:v>
                </c:pt>
                <c:pt idx="14">
                  <c:v>3.5013698630137</c:v>
                </c:pt>
                <c:pt idx="15">
                  <c:v>3.75068493150685</c:v>
                </c:pt>
                <c:pt idx="16">
                  <c:v>4.0027397260274</c:v>
                </c:pt>
                <c:pt idx="17">
                  <c:v>4.25479452054795</c:v>
                </c:pt>
                <c:pt idx="18">
                  <c:v>4.5013698630137</c:v>
                </c:pt>
                <c:pt idx="19">
                  <c:v>4.75068493150685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strCache>
            </c:strRef>
          </c:xVal>
          <c:yVal>
            <c:numRef>
              <c:f>Distribution!$L$3:$L$42</c:f>
              <c:numCache>
                <c:formatCode>General</c:formatCode>
                <c:ptCount val="40"/>
                <c:pt idx="0">
                  <c:v>0.0203000000000001</c:v>
                </c:pt>
                <c:pt idx="1">
                  <c:v>0.0170865371510684</c:v>
                </c:pt>
                <c:pt idx="2">
                  <c:v>0.0159153379970748</c:v>
                </c:pt>
                <c:pt idx="3">
                  <c:v>0.0151201112426055</c:v>
                </c:pt>
                <c:pt idx="4">
                  <c:v>0.0155000721500128</c:v>
                </c:pt>
                <c:pt idx="5">
                  <c:v>0.0148425540438027</c:v>
                </c:pt>
                <c:pt idx="6">
                  <c:v>0.0141332397563552</c:v>
                </c:pt>
                <c:pt idx="7">
                  <c:v>0.0137979002960015</c:v>
                </c:pt>
                <c:pt idx="8">
                  <c:v>0.0152121654627153</c:v>
                </c:pt>
                <c:pt idx="9">
                  <c:v>0.0146687631471616</c:v>
                </c:pt>
                <c:pt idx="10">
                  <c:v>0.0141794982990235</c:v>
                </c:pt>
                <c:pt idx="11">
                  <c:v>0.0138332492998613</c:v>
                </c:pt>
                <c:pt idx="12">
                  <c:v>0.0150307862303858</c:v>
                </c:pt>
                <c:pt idx="13">
                  <c:v>0.0147928391974548</c:v>
                </c:pt>
                <c:pt idx="14">
                  <c:v>0.0143837463526601</c:v>
                </c:pt>
                <c:pt idx="15">
                  <c:v>0.0139632459485599</c:v>
                </c:pt>
                <c:pt idx="16">
                  <c:v>0.0147378265638983</c:v>
                </c:pt>
                <c:pt idx="17">
                  <c:v>0.0144266046769809</c:v>
                </c:pt>
                <c:pt idx="18">
                  <c:v>0.014233957028066</c:v>
                </c:pt>
                <c:pt idx="19">
                  <c:v>0.0138790601116177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</c:ser>
        <c:ser>
          <c:idx val="2"/>
          <c:order val="2"/>
          <c:tx>
            <c:v>Median</c:v>
          </c:tx>
          <c:spPr>
            <a:ln w="25400">
              <a:solidFill>
                <a:srgbClr val="14325C"/>
              </a:solidFill>
              <a:prstDash val="solid"/>
            </a:ln>
          </c:spPr>
          <c:marker>
            <c:symbol val="none"/>
          </c:marker>
          <c:xVal>
            <c:strRef>
              <c:f>Distribution!$I$3:$I$42</c:f>
              <c:strCache>
                <c:ptCount val="40"/>
                <c:pt idx="0">
                  <c:v>0</c:v>
                </c:pt>
                <c:pt idx="1">
                  <c:v>0.252054794520548</c:v>
                </c:pt>
                <c:pt idx="2">
                  <c:v>0.498630136986301</c:v>
                </c:pt>
                <c:pt idx="3">
                  <c:v>0.747945205479452</c:v>
                </c:pt>
                <c:pt idx="4">
                  <c:v>1</c:v>
                </c:pt>
                <c:pt idx="5">
                  <c:v>1.25205479452055</c:v>
                </c:pt>
                <c:pt idx="6">
                  <c:v>1.5013698630137</c:v>
                </c:pt>
                <c:pt idx="7">
                  <c:v>1.75068493150685</c:v>
                </c:pt>
                <c:pt idx="8">
                  <c:v>2.0027397260274</c:v>
                </c:pt>
                <c:pt idx="9">
                  <c:v>2.25479452054795</c:v>
                </c:pt>
                <c:pt idx="10">
                  <c:v>2.5013698630137</c:v>
                </c:pt>
                <c:pt idx="11">
                  <c:v>2.75068493150685</c:v>
                </c:pt>
                <c:pt idx="12">
                  <c:v>3.0027397260274</c:v>
                </c:pt>
                <c:pt idx="13">
                  <c:v>3.25479452054795</c:v>
                </c:pt>
                <c:pt idx="14">
                  <c:v>3.5013698630137</c:v>
                </c:pt>
                <c:pt idx="15">
                  <c:v>3.75068493150685</c:v>
                </c:pt>
                <c:pt idx="16">
                  <c:v>4.0027397260274</c:v>
                </c:pt>
                <c:pt idx="17">
                  <c:v>4.25479452054795</c:v>
                </c:pt>
                <c:pt idx="18">
                  <c:v>4.5013698630137</c:v>
                </c:pt>
                <c:pt idx="19">
                  <c:v>4.75068493150685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strCache>
            </c:strRef>
          </c:xVal>
          <c:yVal>
            <c:numRef>
              <c:f>Distribution!$M$3:$M$42</c:f>
              <c:numCache>
                <c:formatCode>General</c:formatCode>
                <c:ptCount val="40"/>
                <c:pt idx="0">
                  <c:v>0.0203000000000001</c:v>
                </c:pt>
                <c:pt idx="1">
                  <c:v>0.0197397760415852</c:v>
                </c:pt>
                <c:pt idx="2">
                  <c:v>0.0197403163560983</c:v>
                </c:pt>
                <c:pt idx="3">
                  <c:v>0.0197408566903227</c:v>
                </c:pt>
                <c:pt idx="4">
                  <c:v>0.0208052931488843</c:v>
                </c:pt>
                <c:pt idx="5">
                  <c:v>0.0208046930283406</c:v>
                </c:pt>
                <c:pt idx="6">
                  <c:v>0.0208046930283414</c:v>
                </c:pt>
                <c:pt idx="7">
                  <c:v>0.0208052931488843</c:v>
                </c:pt>
                <c:pt idx="8">
                  <c:v>0.0227471088621678</c:v>
                </c:pt>
                <c:pt idx="9">
                  <c:v>0.0227456743912517</c:v>
                </c:pt>
                <c:pt idx="10">
                  <c:v>0.0227463916116395</c:v>
                </c:pt>
                <c:pt idx="11">
                  <c:v>0.0227471088621678</c:v>
                </c:pt>
                <c:pt idx="12">
                  <c:v>0.0243540406875651</c:v>
                </c:pt>
                <c:pt idx="13">
                  <c:v>0.0243523966153409</c:v>
                </c:pt>
                <c:pt idx="14">
                  <c:v>0.024353218632964</c:v>
                </c:pt>
                <c:pt idx="15">
                  <c:v>0.0243540406875651</c:v>
                </c:pt>
                <c:pt idx="16">
                  <c:v>0.0254754004979805</c:v>
                </c:pt>
                <c:pt idx="17">
                  <c:v>0.025473601715408</c:v>
                </c:pt>
                <c:pt idx="18">
                  <c:v>0.0254745010855359</c:v>
                </c:pt>
                <c:pt idx="19">
                  <c:v>0.0254754004979805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</c:ser>
        <c:ser>
          <c:idx val="3"/>
          <c:order val="3"/>
          <c:spPr>
            <a:ln w="25400">
              <a:solidFill>
                <a:srgbClr val="4F93DC"/>
              </a:solidFill>
              <a:prstDash val="solid"/>
            </a:ln>
          </c:spPr>
          <c:marker>
            <c:symbol val="none"/>
          </c:marker>
          <c:xVal>
            <c:strRef>
              <c:f>Distribution!$I$3:$I$42</c:f>
              <c:strCache>
                <c:ptCount val="40"/>
                <c:pt idx="0">
                  <c:v>0</c:v>
                </c:pt>
                <c:pt idx="1">
                  <c:v>0.252054794520548</c:v>
                </c:pt>
                <c:pt idx="2">
                  <c:v>0.498630136986301</c:v>
                </c:pt>
                <c:pt idx="3">
                  <c:v>0.747945205479452</c:v>
                </c:pt>
                <c:pt idx="4">
                  <c:v>1</c:v>
                </c:pt>
                <c:pt idx="5">
                  <c:v>1.25205479452055</c:v>
                </c:pt>
                <c:pt idx="6">
                  <c:v>1.5013698630137</c:v>
                </c:pt>
                <c:pt idx="7">
                  <c:v>1.75068493150685</c:v>
                </c:pt>
                <c:pt idx="8">
                  <c:v>2.0027397260274</c:v>
                </c:pt>
                <c:pt idx="9">
                  <c:v>2.25479452054795</c:v>
                </c:pt>
                <c:pt idx="10">
                  <c:v>2.5013698630137</c:v>
                </c:pt>
                <c:pt idx="11">
                  <c:v>2.75068493150685</c:v>
                </c:pt>
                <c:pt idx="12">
                  <c:v>3.0027397260274</c:v>
                </c:pt>
                <c:pt idx="13">
                  <c:v>3.25479452054795</c:v>
                </c:pt>
                <c:pt idx="14">
                  <c:v>3.5013698630137</c:v>
                </c:pt>
                <c:pt idx="15">
                  <c:v>3.75068493150685</c:v>
                </c:pt>
                <c:pt idx="16">
                  <c:v>4.0027397260274</c:v>
                </c:pt>
                <c:pt idx="17">
                  <c:v>4.25479452054795</c:v>
                </c:pt>
                <c:pt idx="18">
                  <c:v>4.5013698630137</c:v>
                </c:pt>
                <c:pt idx="19">
                  <c:v>4.75068493150685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strCache>
            </c:strRef>
          </c:xVal>
          <c:yVal>
            <c:numRef>
              <c:f>Distribution!$N$3:$N$42</c:f>
              <c:numCache>
                <c:formatCode>General</c:formatCode>
                <c:ptCount val="40"/>
                <c:pt idx="0">
                  <c:v>0.0203000000000001</c:v>
                </c:pt>
                <c:pt idx="1">
                  <c:v>0.022393014932102</c:v>
                </c:pt>
                <c:pt idx="2">
                  <c:v>0.0235652947151219</c:v>
                </c:pt>
                <c:pt idx="3">
                  <c:v>0.0243616021380399</c:v>
                </c:pt>
                <c:pt idx="4">
                  <c:v>0.0261105141477558</c:v>
                </c:pt>
                <c:pt idx="5">
                  <c:v>0.0267668320128784</c:v>
                </c:pt>
                <c:pt idx="6">
                  <c:v>0.0274761463003277</c:v>
                </c:pt>
                <c:pt idx="7">
                  <c:v>0.027812686001767</c:v>
                </c:pt>
                <c:pt idx="8">
                  <c:v>0.0302820522616203</c:v>
                </c:pt>
                <c:pt idx="9">
                  <c:v>0.0308225856353419</c:v>
                </c:pt>
                <c:pt idx="10">
                  <c:v>0.0313132849242555</c:v>
                </c:pt>
                <c:pt idx="11">
                  <c:v>0.0316609684244744</c:v>
                </c:pt>
                <c:pt idx="12">
                  <c:v>0.0336772951447443</c:v>
                </c:pt>
                <c:pt idx="13">
                  <c:v>0.0339119540332271</c:v>
                </c:pt>
                <c:pt idx="14">
                  <c:v>0.0343226909132678</c:v>
                </c:pt>
                <c:pt idx="15">
                  <c:v>0.0347448354265702</c:v>
                </c:pt>
                <c:pt idx="16">
                  <c:v>0.0362129744320627</c:v>
                </c:pt>
                <c:pt idx="17">
                  <c:v>0.0365205987538352</c:v>
                </c:pt>
                <c:pt idx="18">
                  <c:v>0.0367150451430058</c:v>
                </c:pt>
                <c:pt idx="19">
                  <c:v>0.0370717408843434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</c:ser>
        <c:ser>
          <c:idx val="4"/>
          <c:order val="4"/>
          <c:spPr>
            <a:ln w="25400">
              <a:solidFill>
                <a:srgbClr val="9CC1EA"/>
              </a:solidFill>
              <a:prstDash val="dash"/>
            </a:ln>
          </c:spPr>
          <c:marker>
            <c:symbol val="none"/>
          </c:marker>
          <c:xVal>
            <c:strRef>
              <c:f>Distribution!$I$3:$I$42</c:f>
              <c:strCache>
                <c:ptCount val="40"/>
                <c:pt idx="0">
                  <c:v>0</c:v>
                </c:pt>
                <c:pt idx="1">
                  <c:v>0.252054794520548</c:v>
                </c:pt>
                <c:pt idx="2">
                  <c:v>0.498630136986301</c:v>
                </c:pt>
                <c:pt idx="3">
                  <c:v>0.747945205479452</c:v>
                </c:pt>
                <c:pt idx="4">
                  <c:v>1</c:v>
                </c:pt>
                <c:pt idx="5">
                  <c:v>1.25205479452055</c:v>
                </c:pt>
                <c:pt idx="6">
                  <c:v>1.5013698630137</c:v>
                </c:pt>
                <c:pt idx="7">
                  <c:v>1.75068493150685</c:v>
                </c:pt>
                <c:pt idx="8">
                  <c:v>2.0027397260274</c:v>
                </c:pt>
                <c:pt idx="9">
                  <c:v>2.25479452054795</c:v>
                </c:pt>
                <c:pt idx="10">
                  <c:v>2.5013698630137</c:v>
                </c:pt>
                <c:pt idx="11">
                  <c:v>2.75068493150685</c:v>
                </c:pt>
                <c:pt idx="12">
                  <c:v>3.0027397260274</c:v>
                </c:pt>
                <c:pt idx="13">
                  <c:v>3.25479452054795</c:v>
                </c:pt>
                <c:pt idx="14">
                  <c:v>3.5013698630137</c:v>
                </c:pt>
                <c:pt idx="15">
                  <c:v>3.75068493150685</c:v>
                </c:pt>
                <c:pt idx="16">
                  <c:v>4.0027397260274</c:v>
                </c:pt>
                <c:pt idx="17">
                  <c:v>4.25479452054795</c:v>
                </c:pt>
                <c:pt idx="18">
                  <c:v>4.5013698630137</c:v>
                </c:pt>
                <c:pt idx="19">
                  <c:v>4.75068493150685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strCache>
            </c:strRef>
          </c:xVal>
          <c:yVal>
            <c:numRef>
              <c:f>Distribution!$O$3:$O$42</c:f>
              <c:numCache>
                <c:formatCode>General</c:formatCode>
                <c:ptCount val="40"/>
                <c:pt idx="0">
                  <c:v>0.0203000000000001</c:v>
                </c:pt>
                <c:pt idx="1">
                  <c:v>0.0262864222314746</c:v>
                </c:pt>
                <c:pt idx="2">
                  <c:v>0.0287998630447018</c:v>
                </c:pt>
                <c:pt idx="3">
                  <c:v>0.0309037862374362</c:v>
                </c:pt>
                <c:pt idx="4">
                  <c:v>0.0338110692057138</c:v>
                </c:pt>
                <c:pt idx="5">
                  <c:v>0.035474599950243</c:v>
                </c:pt>
                <c:pt idx="6">
                  <c:v>0.036689451170501</c:v>
                </c:pt>
                <c:pt idx="7">
                  <c:v>0.0380315368504448</c:v>
                </c:pt>
                <c:pt idx="8">
                  <c:v>0.0412510008306145</c:v>
                </c:pt>
                <c:pt idx="9">
                  <c:v>0.0421286027006624</c:v>
                </c:pt>
                <c:pt idx="10">
                  <c:v>0.0432915760936198</c:v>
                </c:pt>
                <c:pt idx="11">
                  <c:v>0.0443788974089855</c:v>
                </c:pt>
                <c:pt idx="12">
                  <c:v>0.0470512292020875</c:v>
                </c:pt>
                <c:pt idx="13">
                  <c:v>0.047802360434304</c:v>
                </c:pt>
                <c:pt idx="14">
                  <c:v>0.0483659531361188</c:v>
                </c:pt>
                <c:pt idx="15">
                  <c:v>0.0495303643878541</c:v>
                </c:pt>
                <c:pt idx="16">
                  <c:v>0.0511588640044227</c:v>
                </c:pt>
                <c:pt idx="17">
                  <c:v>0.0521763187406426</c:v>
                </c:pt>
                <c:pt idx="18">
                  <c:v>0.0530320088670278</c:v>
                </c:pt>
                <c:pt idx="19">
                  <c:v>0.0537534771005403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</c:ser>
        <c:ser>
          <c:idx val="5"/>
          <c:order val="5"/>
          <c:tx>
            <c:v>Forward</c:v>
          </c:tx>
          <c:spPr>
            <a:ln w="25400">
              <a:solidFill>
                <a:srgbClr val="EB6834"/>
              </a:solidFill>
              <a:prstDash val="sysDot"/>
            </a:ln>
          </c:spPr>
          <c:marker>
            <c:symbol val="none"/>
          </c:marker>
          <c:xVal>
            <c:strRef>
              <c:f>Distribution!$I$3:$I$42</c:f>
              <c:strCache>
                <c:ptCount val="40"/>
                <c:pt idx="0">
                  <c:v>0</c:v>
                </c:pt>
                <c:pt idx="1">
                  <c:v>0.252054794520548</c:v>
                </c:pt>
                <c:pt idx="2">
                  <c:v>0.498630136986301</c:v>
                </c:pt>
                <c:pt idx="3">
                  <c:v>0.747945205479452</c:v>
                </c:pt>
                <c:pt idx="4">
                  <c:v>1</c:v>
                </c:pt>
                <c:pt idx="5">
                  <c:v>1.25205479452055</c:v>
                </c:pt>
                <c:pt idx="6">
                  <c:v>1.5013698630137</c:v>
                </c:pt>
                <c:pt idx="7">
                  <c:v>1.75068493150685</c:v>
                </c:pt>
                <c:pt idx="8">
                  <c:v>2.0027397260274</c:v>
                </c:pt>
                <c:pt idx="9">
                  <c:v>2.25479452054795</c:v>
                </c:pt>
                <c:pt idx="10">
                  <c:v>2.5013698630137</c:v>
                </c:pt>
                <c:pt idx="11">
                  <c:v>2.75068493150685</c:v>
                </c:pt>
                <c:pt idx="12">
                  <c:v>3.0027397260274</c:v>
                </c:pt>
                <c:pt idx="13">
                  <c:v>3.25479452054795</c:v>
                </c:pt>
                <c:pt idx="14">
                  <c:v>3.5013698630137</c:v>
                </c:pt>
                <c:pt idx="15">
                  <c:v>3.75068493150685</c:v>
                </c:pt>
                <c:pt idx="16">
                  <c:v>4.0027397260274</c:v>
                </c:pt>
                <c:pt idx="17">
                  <c:v>4.25479452054795</c:v>
                </c:pt>
                <c:pt idx="18">
                  <c:v>4.5013698630137</c:v>
                </c:pt>
                <c:pt idx="19">
                  <c:v>4.75068493150685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strCache>
            </c:strRef>
          </c:xVal>
          <c:yVal>
            <c:numRef>
              <c:f>Distribution!$J$3:$J$42</c:f>
              <c:numCache>
                <c:formatCode>General</c:formatCode>
                <c:ptCount val="40"/>
                <c:pt idx="0">
                  <c:v>0.0203000000000001</c:v>
                </c:pt>
                <c:pt idx="1">
                  <c:v>0.0197397760415852</c:v>
                </c:pt>
                <c:pt idx="2">
                  <c:v>0.0197403163560983</c:v>
                </c:pt>
                <c:pt idx="3">
                  <c:v>0.0197408566903227</c:v>
                </c:pt>
                <c:pt idx="4">
                  <c:v>0.0208052931488843</c:v>
                </c:pt>
                <c:pt idx="5">
                  <c:v>0.0208046930283406</c:v>
                </c:pt>
                <c:pt idx="6">
                  <c:v>0.0208046930283414</c:v>
                </c:pt>
                <c:pt idx="7">
                  <c:v>0.0208052931488843</c:v>
                </c:pt>
                <c:pt idx="8">
                  <c:v>0.0227471088621678</c:v>
                </c:pt>
                <c:pt idx="9">
                  <c:v>0.0227456743912517</c:v>
                </c:pt>
                <c:pt idx="10">
                  <c:v>0.0227463916116395</c:v>
                </c:pt>
                <c:pt idx="11">
                  <c:v>0.0227471088621678</c:v>
                </c:pt>
                <c:pt idx="12">
                  <c:v>0.0243540406875651</c:v>
                </c:pt>
                <c:pt idx="13">
                  <c:v>0.0243523966153409</c:v>
                </c:pt>
                <c:pt idx="14">
                  <c:v>0.024353218632964</c:v>
                </c:pt>
                <c:pt idx="15">
                  <c:v>0.0243540406875651</c:v>
                </c:pt>
                <c:pt idx="16">
                  <c:v>0.0254754004979805</c:v>
                </c:pt>
                <c:pt idx="17">
                  <c:v>0.025473601715408</c:v>
                </c:pt>
                <c:pt idx="18">
                  <c:v>0.0254745010855359</c:v>
                </c:pt>
                <c:pt idx="19">
                  <c:v>0.0254754004979805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</c:ser>
        <c:axId val="50050001"/>
        <c:axId val="50050002"/>
      </c:scatterChart>
      <c:valAx>
        <c:axId val="50050001"/>
        <c:scaling>
          <c:orientation val="minMax"/>
          <c:min val="0"/>
        </c:scaling>
        <c:axPos val="b"/>
        <c:majorGridlines>
          <c:spPr>
            <a:ln>
              <a:solidFill>
                <a:srgbClr val="E6E6E6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Fixing date (years)</a:t>
                </a:r>
              </a:p>
            </c:rich>
          </c:tx>
          <c:layout/>
        </c:title>
        <c:numFmt formatCode="General" sourceLinked="1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axPos val="l"/>
        <c:majorGridlines>
          <c:spPr>
            <a:ln>
              <a:solidFill>
                <a:srgbClr val="E6E6E6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Euribor 3M</a:t>
                </a:r>
              </a:p>
            </c:rich>
          </c:tx>
          <c:layout/>
        </c:title>
        <c:numFmt formatCode="0.0%" sourceLinked="0"/>
        <c:tickLblPos val="nextTo"/>
        <c:crossAx val="50050001"/>
        <c:crosses val="autoZero"/>
        <c:crossBetween val="midCat"/>
      </c:valAx>
    </c:plotArea>
    <c:legend>
      <c:legendPos val="b"/>
      <c:legendEntry>
        <c:idx val="3"/>
        <c:delete val="1"/>
      </c:legendEntry>
      <c:legendEntry>
        <c:idx val="4"/>
        <c:delete val="1"/>
      </c:legendEntry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chart" Target="../charts/chart4.xml"/><Relationship Id="rId2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26</xdr:row>
      <xdr:rowOff>0</xdr:rowOff>
    </xdr:from>
    <xdr:to>
      <xdr:col>13</xdr:col>
      <xdr:colOff>28575</xdr:colOff>
      <xdr:row>47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21</xdr:col>
      <xdr:colOff>0</xdr:colOff>
      <xdr:row>17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36</xdr:row>
      <xdr:rowOff>0</xdr:rowOff>
    </xdr:from>
    <xdr:to>
      <xdr:col>6</xdr:col>
      <xdr:colOff>285750</xdr:colOff>
      <xdr:row>54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</xdr:row>
      <xdr:rowOff>0</xdr:rowOff>
    </xdr:from>
    <xdr:to>
      <xdr:col>25</xdr:col>
      <xdr:colOff>419100</xdr:colOff>
      <xdr:row>18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22</xdr:row>
      <xdr:rowOff>0</xdr:rowOff>
    </xdr:from>
    <xdr:to>
      <xdr:col>25</xdr:col>
      <xdr:colOff>419100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B2:O30"/>
  <sheetViews>
    <sheetView showGridLines="0" tabSelected="1" workbookViewId="0"/>
  </sheetViews>
  <sheetFormatPr defaultRowHeight="15"/>
  <cols>
    <col min="1" max="1" width="2.7109375" customWidth="1"/>
    <col min="2" max="2" width="38.7109375" customWidth="1"/>
    <col min="3" max="3" width="22.7109375" customWidth="1"/>
    <col min="4" max="4" width="3.7109375" customWidth="1"/>
    <col min="5" max="5" width="24.7109375" customWidth="1"/>
    <col min="6" max="15" width="13.28515625" customWidth="1"/>
  </cols>
  <sheetData>
    <row r="2" spans="2:15">
      <c r="B2" s="1" t="s">
        <v>30</v>
      </c>
    </row>
    <row r="3" spans="2:15">
      <c r="B3" s="2" t="s">
        <v>31</v>
      </c>
    </row>
    <row r="5" spans="2:15">
      <c r="B5" s="3" t="s">
        <v>32</v>
      </c>
      <c r="C5" s="3"/>
      <c r="G5" s="4" t="s">
        <v>58</v>
      </c>
      <c r="H5" s="4"/>
      <c r="I5" s="4"/>
      <c r="J5" s="4"/>
      <c r="K5" s="4"/>
      <c r="L5" s="4"/>
      <c r="M5" s="4"/>
      <c r="N5" s="4"/>
      <c r="O5" s="4"/>
    </row>
    <row r="6" spans="2:15">
      <c r="B6" s="5" t="s">
        <v>33</v>
      </c>
      <c r="C6" s="6">
        <v>50000000</v>
      </c>
      <c r="G6" s="4"/>
      <c r="H6" s="4"/>
      <c r="I6" s="4"/>
      <c r="J6" s="4"/>
      <c r="K6" s="4"/>
      <c r="L6" s="4"/>
      <c r="M6" s="4"/>
      <c r="N6" s="4"/>
      <c r="O6" s="4"/>
    </row>
    <row r="7" spans="2:15">
      <c r="B7" s="5" t="s">
        <v>34</v>
      </c>
      <c r="C7" s="6">
        <v>5</v>
      </c>
    </row>
    <row r="8" spans="2:15">
      <c r="B8" s="5" t="s">
        <v>35</v>
      </c>
      <c r="C8" s="7">
        <v>0.015</v>
      </c>
      <c r="E8" s="2" t="s">
        <v>59</v>
      </c>
      <c r="F8" s="2"/>
      <c r="G8" s="2"/>
      <c r="H8" s="2"/>
      <c r="I8" s="2"/>
      <c r="J8" s="2"/>
      <c r="K8" s="2"/>
      <c r="L8" s="2"/>
      <c r="M8" s="2"/>
      <c r="N8" s="2"/>
      <c r="O8" s="2"/>
    </row>
    <row r="9" spans="2:15">
      <c r="B9" s="5" t="s">
        <v>36</v>
      </c>
      <c r="C9" s="8" t="s">
        <v>37</v>
      </c>
    </row>
    <row r="10" spans="2:15">
      <c r="B10" s="5" t="s">
        <v>38</v>
      </c>
      <c r="C10" s="8" t="s">
        <v>39</v>
      </c>
      <c r="E10" s="2" t="s">
        <v>60</v>
      </c>
    </row>
    <row r="11" spans="2:15">
      <c r="B11" s="5" t="s">
        <v>40</v>
      </c>
      <c r="C11" s="7">
        <v>0.04</v>
      </c>
    </row>
    <row r="12" spans="2:15" ht="32" customHeight="1">
      <c r="E12" s="9" t="s">
        <v>61</v>
      </c>
      <c r="F12" s="9" t="s">
        <v>62</v>
      </c>
      <c r="G12" s="9" t="s">
        <v>63</v>
      </c>
      <c r="H12" s="9" t="s">
        <v>64</v>
      </c>
      <c r="I12" s="9" t="s">
        <v>65</v>
      </c>
      <c r="J12" s="9" t="s">
        <v>66</v>
      </c>
      <c r="K12" s="10" t="s">
        <v>67</v>
      </c>
      <c r="L12" s="10" t="s">
        <v>68</v>
      </c>
      <c r="M12" s="10" t="s">
        <v>69</v>
      </c>
      <c r="N12" s="10" t="s">
        <v>70</v>
      </c>
      <c r="O12" s="10" t="s">
        <v>71</v>
      </c>
    </row>
    <row r="13" spans="2:15">
      <c r="B13" s="3" t="s">
        <v>41</v>
      </c>
      <c r="C13" s="3"/>
      <c r="E13" s="11" t="s">
        <v>72</v>
      </c>
      <c r="F13" s="12"/>
      <c r="G13" s="12"/>
      <c r="H13" s="13">
        <f>0</f>
        <v>0</v>
      </c>
      <c r="I13" s="13">
        <f>0</f>
        <v>0</v>
      </c>
      <c r="J13" s="14">
        <f>0</f>
        <v>0</v>
      </c>
      <c r="K13" s="15">
        <v>0.0378317900134776</v>
      </c>
      <c r="L13" s="15">
        <v>0.053616700940244</v>
      </c>
      <c r="M13" s="15">
        <v>0.0226307472418826</v>
      </c>
      <c r="N13" s="15">
        <v>0.0721626636599219</v>
      </c>
      <c r="O13" s="16">
        <v>0.4048</v>
      </c>
    </row>
    <row r="14" spans="2:15">
      <c r="B14" s="5" t="s">
        <v>42</v>
      </c>
      <c r="C14" s="17">
        <v>1</v>
      </c>
      <c r="E14" s="11" t="s">
        <v>73</v>
      </c>
      <c r="F14" s="18">
        <f>ParRate+MarginBp/10000</f>
        <v>0.0225872038239138</v>
      </c>
      <c r="G14" s="12"/>
      <c r="H14" s="13">
        <f>HedgeRatio*Schedule!$T$44</f>
        <v>-2.61934474110603e-10</v>
      </c>
      <c r="I14" s="13">
        <f>0</f>
        <v>0</v>
      </c>
      <c r="J14" s="14">
        <f>0</f>
        <v>0</v>
      </c>
      <c r="K14" s="15">
        <v>0.037767780582739</v>
      </c>
      <c r="L14" s="15">
        <v>0.0384806064168281</v>
      </c>
      <c r="M14" s="15">
        <v>0.0375872038239138</v>
      </c>
      <c r="N14" s="15">
        <v>0.0449179544333005</v>
      </c>
      <c r="O14" s="16">
        <v>0.0241</v>
      </c>
    </row>
    <row r="15" spans="2:15">
      <c r="B15" s="5" t="s">
        <v>43</v>
      </c>
      <c r="C15" s="7">
        <v>0.03</v>
      </c>
      <c r="E15" s="11" t="s">
        <v>74</v>
      </c>
      <c r="F15" s="18">
        <f>ParRate+Schedule!$Q$44/Schedule!$K$44+MarginBp/10000</f>
        <v>0.0227663930523971</v>
      </c>
      <c r="G15" s="18">
        <f>0</f>
        <v>0</v>
      </c>
      <c r="H15" s="13">
        <f>HedgeRatio*(Schedule!$U$44+Schedule!$Q$44)</f>
        <v>-6.54836185276508e-10</v>
      </c>
      <c r="I15" s="13">
        <f>0</f>
        <v>0</v>
      </c>
      <c r="J15" s="14">
        <f>0</f>
        <v>0</v>
      </c>
      <c r="K15" s="15">
        <v>0.0377663930523869</v>
      </c>
      <c r="L15" s="15">
        <v>0.0377663930523971</v>
      </c>
      <c r="M15" s="15">
        <v>0.0377663930523971</v>
      </c>
      <c r="N15" s="15">
        <v>0.0377663930523971</v>
      </c>
      <c r="O15" s="16">
        <v>0</v>
      </c>
    </row>
    <row r="16" spans="2:15">
      <c r="B16" s="5" t="s">
        <v>44</v>
      </c>
      <c r="C16" s="7"/>
      <c r="E16" s="11" t="s">
        <v>75</v>
      </c>
      <c r="F16" s="18">
        <f>CapStrike</f>
        <v>0.03</v>
      </c>
      <c r="G16" s="12"/>
      <c r="H16" s="13">
        <f>HedgeRatio*Schedule!$O$44</f>
        <v>511065.76139702</v>
      </c>
      <c r="I16" s="13">
        <f>H16</f>
        <v>511065.76139702</v>
      </c>
      <c r="J16" s="14">
        <f>10000*I16/Annuity1</f>
        <v>21.2551848938351</v>
      </c>
      <c r="K16" s="15">
        <v>0.0377773865078589</v>
      </c>
      <c r="L16" s="15">
        <v>0.0458611527753937</v>
      </c>
      <c r="M16" s="15">
        <v>0.0247562657312661</v>
      </c>
      <c r="N16" s="15">
        <v>0.0471255184893835</v>
      </c>
      <c r="O16" s="16">
        <v>0.4615</v>
      </c>
    </row>
    <row r="17" spans="2:15">
      <c r="B17" s="5" t="s">
        <v>45</v>
      </c>
      <c r="C17" s="6">
        <v>0</v>
      </c>
      <c r="E17" s="11" t="s">
        <v>76</v>
      </c>
      <c r="F17" s="18">
        <f>CapStrike</f>
        <v>0.03</v>
      </c>
      <c r="G17" s="18">
        <f>IF(ISNUMBER(FloorOverride),FloorOverride,IR_COLLAR_FLOOR(CapStrike,MarginBp,MktData,DealData,MktShift,VolShift))</f>
        <v>0.0165151813038772</v>
      </c>
      <c r="H17" s="13">
        <f>HedgeRatio*(Schedule!$O$44-Schedule!$S$44)</f>
        <v>-7.82718416303396e-07</v>
      </c>
      <c r="I17" s="13">
        <f>0</f>
        <v>0</v>
      </c>
      <c r="J17" s="14">
        <f>0</f>
        <v>0</v>
      </c>
      <c r="K17" s="15">
        <v>0.0378046718331106</v>
      </c>
      <c r="L17" s="15">
        <v>0.0437419240577667</v>
      </c>
      <c r="M17" s="15">
        <v>0.0320898512244243</v>
      </c>
      <c r="N17" s="15">
        <v>0.045</v>
      </c>
      <c r="O17" s="16">
        <v>0.3504</v>
      </c>
    </row>
    <row r="18" spans="2:15">
      <c r="E18" s="2" t="s">
        <v>77</v>
      </c>
    </row>
    <row r="19" spans="2:15">
      <c r="B19" s="3" t="s">
        <v>46</v>
      </c>
      <c r="C19" s="3"/>
      <c r="E19" s="2" t="s">
        <v>78</v>
      </c>
    </row>
    <row r="20" spans="2:15">
      <c r="B20" s="5" t="s">
        <v>47</v>
      </c>
      <c r="C20" s="6">
        <v>0</v>
      </c>
      <c r="E20" s="3" t="s">
        <v>79</v>
      </c>
      <c r="F20" s="3"/>
      <c r="G20" s="3"/>
      <c r="H20" s="3"/>
      <c r="I20" s="3"/>
    </row>
    <row r="21" spans="2:15">
      <c r="B21" s="5" t="s">
        <v>48</v>
      </c>
      <c r="C21" s="6">
        <v>0</v>
      </c>
      <c r="E21" s="9" t="s">
        <v>80</v>
      </c>
      <c r="F21" s="9" t="s">
        <v>81</v>
      </c>
      <c r="G21" s="9" t="s">
        <v>82</v>
      </c>
      <c r="H21" s="9" t="s">
        <v>83</v>
      </c>
      <c r="I21" s="9" t="s">
        <v>84</v>
      </c>
    </row>
    <row r="22" spans="2:15">
      <c r="B22" s="5" t="s">
        <v>49</v>
      </c>
      <c r="C22" s="18">
        <f>Market!$D$22+MktShift/10000</f>
        <v>0.0203</v>
      </c>
      <c r="E22" s="11" t="s">
        <v>73</v>
      </c>
      <c r="F22" s="13">
        <f>Risk!C11</f>
        <v>23307.4512015059</v>
      </c>
      <c r="G22" s="13">
        <f>Risk!D11</f>
        <v>0</v>
      </c>
      <c r="H22" s="13">
        <f>Risk!E11</f>
        <v>-2400887.75634799</v>
      </c>
      <c r="I22" s="13">
        <f>Risk!F11</f>
        <v>2263761.0047804</v>
      </c>
    </row>
    <row r="23" spans="2:15">
      <c r="B23" s="5" t="s">
        <v>50</v>
      </c>
      <c r="C23" s="18">
        <f>SUMPRODUCT(Schedule!$K$3:$K$42,Schedule!$I$3:$I$42)/Schedule!$K$44</f>
        <v>0.0225872038239138</v>
      </c>
      <c r="E23" s="11" t="s">
        <v>74</v>
      </c>
      <c r="F23" s="13">
        <f>Risk!C12</f>
        <v>22602.4359279941</v>
      </c>
      <c r="G23" s="13">
        <f>Risk!D12</f>
        <v>2789.67184747011</v>
      </c>
      <c r="H23" s="13">
        <f>Risk!E12</f>
        <v>-2239381.81942636</v>
      </c>
      <c r="I23" s="13">
        <f>Risk!F12</f>
        <v>2229151.42411736</v>
      </c>
    </row>
    <row r="24" spans="2:15">
      <c r="B24" s="5" t="s">
        <v>51</v>
      </c>
      <c r="C24" s="14">
        <f>IR_CAPVOL((EDATE(ValDate,Years*12)-ValDate)/365,MktData,VolShift)</f>
        <v>79.0013698630137</v>
      </c>
      <c r="E24" s="11" t="s">
        <v>75</v>
      </c>
      <c r="F24" s="13">
        <f>Risk!C13</f>
        <v>5326.17231272967</v>
      </c>
      <c r="G24" s="13">
        <f>Risk!D13</f>
        <v>10982.2185274548</v>
      </c>
      <c r="H24" s="13">
        <f>Risk!E13</f>
        <v>163581.204142788</v>
      </c>
      <c r="I24" s="13">
        <f>Risk!F13</f>
        <v>1332676.60569221</v>
      </c>
    </row>
    <row r="25" spans="2:15">
      <c r="E25" s="11" t="s">
        <v>76</v>
      </c>
      <c r="F25" s="13">
        <f>Risk!C14</f>
        <v>12060.8317480721</v>
      </c>
      <c r="G25" s="13">
        <f>Risk!D14</f>
        <v>-826.443466514698</v>
      </c>
      <c r="H25" s="13">
        <f>Risk!E14</f>
        <v>-1529403.87115512</v>
      </c>
      <c r="I25" s="13">
        <f>Risk!F14</f>
        <v>1209087.86231822</v>
      </c>
    </row>
    <row r="26" spans="2:15">
      <c r="B26" s="3" t="s">
        <v>52</v>
      </c>
      <c r="C26" s="3"/>
    </row>
    <row r="27" spans="2:15">
      <c r="B27" s="5" t="s">
        <v>53</v>
      </c>
      <c r="C27" s="6">
        <v>20000</v>
      </c>
    </row>
    <row r="28" spans="2:15">
      <c r="B28" s="5" t="s">
        <v>54</v>
      </c>
      <c r="C28" s="6">
        <v>42</v>
      </c>
    </row>
    <row r="29" spans="2:15">
      <c r="B29" s="5" t="s">
        <v>55</v>
      </c>
      <c r="C29" s="17">
        <v>0.05</v>
      </c>
    </row>
    <row r="30" spans="2:15">
      <c r="B30" s="5" t="s">
        <v>56</v>
      </c>
      <c r="C30" s="8" t="s">
        <v>57</v>
      </c>
    </row>
  </sheetData>
  <mergeCells count="7">
    <mergeCell ref="B5:C5"/>
    <mergeCell ref="B13:C13"/>
    <mergeCell ref="B19:C19"/>
    <mergeCell ref="B26:C26"/>
    <mergeCell ref="G5:O6"/>
    <mergeCell ref="E8:O8"/>
    <mergeCell ref="E20:I20"/>
  </mergeCells>
  <dataValidations count="4">
    <dataValidation type="whole" allowBlank="1" showInputMessage="1" showErrorMessage="1" sqref="C7">
      <formula1>1</formula1>
      <formula2>10</formula2>
    </dataValidation>
    <dataValidation type="list" allowBlank="1" showInputMessage="1" showErrorMessage="1" sqref="C9">
      <formula1>"Yes,No"</formula1>
    </dataValidation>
    <dataValidation type="list" allowBlank="1" showInputMessage="1" showErrorMessage="1" sqref="C10">
      <formula1>"Bullet,Linear"</formula1>
    </dataValidation>
    <dataValidation type="list" allowBlank="1" showInputMessage="1" showErrorMessage="1" sqref="C30">
      <formula1>"Forwards are realised,Euribor stays at today's fixing"</formula1>
    </dataValidation>
  </dataValidations>
  <pageMargins left="0.4" right="0.4" top="0.5" bottom="0.5" header="0.3" footer="0.3"/>
  <pageSetup paperSize="9" orientation="landscape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B2:B20"/>
  <sheetViews>
    <sheetView showGridLines="0" workbookViewId="0"/>
  </sheetViews>
  <sheetFormatPr defaultRowHeight="15"/>
  <cols>
    <col min="1" max="1" width="2.7109375" customWidth="1"/>
    <col min="2" max="2" width="110.7109375" customWidth="1"/>
  </cols>
  <sheetData>
    <row r="2" spans="2:2">
      <c r="B2" s="1" t="s">
        <v>151</v>
      </c>
    </row>
    <row r="3" spans="2:2">
      <c r="B3" s="2" t="s">
        <v>152</v>
      </c>
    </row>
    <row r="6" spans="2:2">
      <c r="B6" s="19" t="s">
        <v>153</v>
      </c>
    </row>
    <row r="7" spans="2:2" ht="52" customHeight="1">
      <c r="B7" s="20" t="str">
        <f>"You borrow EUR "&amp;TEXT(Notional/1000000,"0.0")&amp;"m over "&amp;Years&amp;" years at Euribor 3M + "&amp;TEXT(Margin,"0.00%")&amp;IF(FloorOn=1,", with a 0% floor on Euribor","")&amp;". Your budget is an all-in cost of "&amp;TEXT(Budget,"0.00%")&amp;". If rates follow the market forwards, your cost will be "&amp;TEXT(Scenarios!C15,"0.00%")&amp;"."</f>
        <v>You borrow EUR 50.0m over 5 years at Euribor 3M + 1.50%, with a 0% floor on Euribor. Your budget is an all-in cost of 4.00%. If rates follow the market forwards, your cost will be 3.77%.</v>
      </c>
    </row>
    <row r="8" spans="2:2" ht="52" customHeight="1">
      <c r="B8" s="20" t="str">
        <f>"The risk is a rise in Euribor. Without a hedge, our simulations give a "&amp;TEXT(Pricer!O13,"0%")&amp;" chance of exceeding your budget, and in the worst 5% of scenarios your all-in cost would reach "&amp;TEXT(Pricer!L13,"0.00%")&amp;"."</f>
        <v>The risk is a rise in Euribor. Without a hedge, our simulations give a 40% chance of exceeding your budget, and in the worst 5% of scenarios your all-in cost would reach 5.36%.</v>
      </c>
    </row>
    <row r="10" spans="2:2">
      <c r="B10" s="19" t="s">
        <v>154</v>
      </c>
    </row>
    <row r="11" spans="2:2" ht="52" customHeight="1">
      <c r="B11" s="20" t="str">
        <f>"1. Payer swap: you pay a fixed "&amp;TEXT(SwapRate,"0.000%")&amp;" instead of Euribor, so your all-in cost is locked at about "&amp;TEXT(SwapRate+Margin,"0.00%")&amp;". No premium, but no benefit if rates fall."</f>
        <v>1. Payer swap: you pay a fixed 2.259% instead of Euribor, so your all-in cost is locked at about 3.76%. No premium, but no benefit if rates fall.</v>
      </c>
    </row>
    <row r="12" spans="2:2" ht="52" customHeight="1">
      <c r="B12" s="20" t="str">
        <f>"2. Floored payer swap at "&amp;TEXT(FSwapRate,"0.000%")&amp;": the same certainty, and it remains a perfect hedge even if Euribor turns negative, because it mirrors the 0% floor of your loan. Cost of this protection: "&amp;TEXT((FSwapRate-SwapRate)*10000,"0.0")&amp;" bp per year."</f>
        <v>2. Floored payer swap at 2.277%: the same certainty, and it remains a perfect hedge even if Euribor turns negative, because it mirrors the 0% floor of your loan. Cost of this protection: 1.8 bp per year.</v>
      </c>
    </row>
    <row r="13" spans="2:2" ht="52" customHeight="1">
      <c r="B13" s="20" t="str">
        <f>"3. Cap at "&amp;TEXT(CapStrike,"0.00%")&amp;": your all-in cost never exceeds "&amp;TEXT(CapStrike+Margin+Pricer!J16/10000,"0.00%")&amp;" premium included, and you keep the full benefit of falling rates. Premium: EUR "&amp;TEXT(CapPremium,"#,##0")&amp;" paid upfront, i.e. "&amp;TEXT(Pricer!J16,"0.0")&amp;" bp per year."</f>
        <v>3. Cap at 3.00%: your all-in cost never exceeds 4.71% premium included, and you keep the full benefit of falling rates. Premium: EUR 511,066 paid upfront, i.e. 21.3 bp per year.</v>
      </c>
    </row>
    <row r="14" spans="2:2" ht="52" customHeight="1">
      <c r="B14" s="20" t="str">
        <f>"4. Zero-cost collar "&amp;TEXT(CollarFloor,"0.00%")&amp;" / "&amp;TEXT(CapStrike,"0.00%")&amp;": no premium. Your Euribor cost stays between "&amp;TEXT(CollarFloor,"0.00%")&amp;" and "&amp;TEXT(CapStrike,"0.00%")&amp;", i.e. an all-in cost between "&amp;TEXT(CollarFloor+Margin,"0.00%")&amp;" and "&amp;TEXT(CapStrike+Margin,"0.00%")&amp;"."</f>
        <v>4. Zero-cost collar 1.65% / 3.00%: no premium. Your Euribor cost stays between 1.65% and 3.00%, i.e. an all-in cost between 3.15% and 4.50%.</v>
      </c>
    </row>
    <row r="16" spans="2:2">
      <c r="B16" s="19" t="s">
        <v>155</v>
      </c>
    </row>
    <row r="17" spans="2:2" ht="52" customHeight="1">
      <c r="B17" s="20" t="str">
        <f>"Every hedge has the same expected cost at mid-market: a hedge does not make money on average, it changes the range of outcomes. If rates fall by 100 bp after the trade, the swap is worth EUR "&amp;TEXT(Risk!E11/1000000,"0.00")&amp;"m to you (negative: you would pay to exit). This uses a credit line and is treated under hedge accounting (IFRS 9)."</f>
        <v>Every hedge has the same expected cost at mid-market: a hedge does not make money on average, it changes the range of outcomes. If rates fall by 100 bp after the trade, the swap is worth EUR -2.40m to you (negative: you would pay to exit). This uses a credit line and is treated under hedge accounting (IFRS 9).</v>
      </c>
    </row>
    <row r="19" spans="2:2">
      <c r="B19" s="19" t="s">
        <v>156</v>
      </c>
    </row>
    <row r="20" spans="2:2" ht="34" customHeight="1">
      <c r="B20" s="21" t="s">
        <v>157</v>
      </c>
    </row>
  </sheetData>
  <pageMargins left="0.4" right="0.4" top="0.5" bottom="0.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pageSetUpPr fitToPage="1"/>
  </sheetPr>
  <dimension ref="A1:U46"/>
  <sheetViews>
    <sheetView showGridLines="0" workbookViewId="0">
      <pane xSplit="4" ySplit="2" topLeftCell="E3" activePane="bottomRight" state="frozen"/>
      <selection pane="topRight" activeCell="E1" sqref="E1"/>
      <selection pane="bottomLeft" activeCell="A3" sqref="A3"/>
      <selection pane="bottomRight"/>
    </sheetView>
  </sheetViews>
  <sheetFormatPr defaultRowHeight="15"/>
  <cols>
    <col min="1" max="2" width="7.7109375" customWidth="1"/>
    <col min="3" max="4" width="11.7109375" customWidth="1"/>
    <col min="5" max="21" width="12.28515625" customWidth="1"/>
  </cols>
  <sheetData>
    <row r="1" spans="1:21">
      <c r="A1" s="19" t="s">
        <v>85</v>
      </c>
    </row>
    <row r="2" spans="1:21" ht="45" customHeight="1">
      <c r="A2" s="9" t="s">
        <v>86</v>
      </c>
      <c r="B2" s="9" t="s">
        <v>87</v>
      </c>
      <c r="C2" s="9" t="s">
        <v>88</v>
      </c>
      <c r="D2" s="9" t="s">
        <v>89</v>
      </c>
      <c r="E2" s="9" t="s">
        <v>90</v>
      </c>
      <c r="F2" s="9" t="s">
        <v>91</v>
      </c>
      <c r="G2" s="9" t="s">
        <v>92</v>
      </c>
      <c r="H2" s="9" t="s">
        <v>93</v>
      </c>
      <c r="I2" s="9" t="s">
        <v>94</v>
      </c>
      <c r="J2" s="9" t="s">
        <v>95</v>
      </c>
      <c r="K2" s="9" t="s">
        <v>96</v>
      </c>
      <c r="L2" s="9" t="s">
        <v>97</v>
      </c>
      <c r="M2" s="9" t="s">
        <v>98</v>
      </c>
      <c r="N2" s="9" t="s">
        <v>99</v>
      </c>
      <c r="O2" s="9" t="s">
        <v>100</v>
      </c>
      <c r="P2" s="9" t="s">
        <v>101</v>
      </c>
      <c r="Q2" s="9" t="s">
        <v>102</v>
      </c>
      <c r="R2" s="9" t="s">
        <v>103</v>
      </c>
      <c r="S2" s="9" t="s">
        <v>104</v>
      </c>
      <c r="T2" s="9" t="s">
        <v>105</v>
      </c>
      <c r="U2" s="9" t="s">
        <v>106</v>
      </c>
    </row>
    <row r="3" spans="1:21">
      <c r="A3" s="22">
        <f>ROW()-2</f>
        <v>1</v>
      </c>
      <c r="B3" s="22">
        <f>IF(A3&lt;=NPer,1,0)</f>
        <v>1</v>
      </c>
      <c r="C3" s="23">
        <f>EDATE(ValDate,3*(A3-1))</f>
        <v>46316</v>
      </c>
      <c r="D3" s="23">
        <f>EDATE(ValDate,3*A3)</f>
        <v>46408</v>
      </c>
      <c r="E3" s="24">
        <f>(D3-C3)/360</f>
        <v>0.255555555555556</v>
      </c>
      <c r="F3" s="24">
        <f>(C3-ValDate)/365</f>
        <v>0</v>
      </c>
      <c r="G3" s="24">
        <f>(D3-ValDate)/365</f>
        <v>0.252054794520548</v>
      </c>
      <c r="H3" s="25">
        <f>B3*Notional*IF(Linear=1,1-(A3-1)/NPer,1)</f>
        <v>50000000</v>
      </c>
      <c r="I3" s="26">
        <f>(IR_DF("EURIBOR",C3,MktData,MktShift)/IR_DF("EURIBOR",D3,MktData,MktShift)-1)/E3</f>
        <v>0.0203000000000001</v>
      </c>
      <c r="J3" s="27">
        <f>IR_DF("ESTR",D3,MktData,MktShift)</f>
        <v>0.995167906940743</v>
      </c>
      <c r="K3" s="25">
        <f>H3*E3*J3</f>
        <v>12716034.3664651</v>
      </c>
      <c r="L3" s="22">
        <f>IF(A3=1,0,1)</f>
        <v>0</v>
      </c>
      <c r="M3" s="26">
        <f>CapVolBp/10000*SQRT(F3)</f>
        <v>0</v>
      </c>
      <c r="N3" s="24">
        <f>IF(M3&gt;0,(I3-CapStrike)/M3,0)</f>
        <v>0</v>
      </c>
      <c r="O3" s="25">
        <f>K3*IF(M3&gt;0,(I3-CapStrike)*NORMSDIST(N3)+M3*NORMDIST(N3,0,1,FALSE),MAX(I3-CapStrike,0))</f>
        <v>0</v>
      </c>
      <c r="P3" s="24">
        <f>IF(M3&gt;0,I3/M3,0)</f>
        <v>0</v>
      </c>
      <c r="Q3" s="25">
        <f>K3*IF(M3&gt;0,(0-I3)*NORMSDIST(-P3)+M3*NORMDIST(P3,0,1,FALSE),MAX(-I3,0))</f>
        <v>0</v>
      </c>
      <c r="R3" s="24">
        <f>IF(M3&gt;0,(I3-CollarFloor)/M3,0)</f>
        <v>0</v>
      </c>
      <c r="S3" s="25">
        <f>K3*IF(M3&gt;0,(CollarFloor-I3)*NORMSDIST(-R3)+M3*NORMDIST(R3,0,1,FALSE),MAX(CollarFloor-I3,0))</f>
        <v>0</v>
      </c>
      <c r="T3" s="25">
        <f>K3*(I3-SwapRate)</f>
        <v>-29084.1624279974</v>
      </c>
      <c r="U3" s="25">
        <f>K3*(I3-FSwapRate)</f>
        <v>-31362.7388154913</v>
      </c>
    </row>
    <row r="4" spans="1:21">
      <c r="A4" s="22">
        <f>ROW()-2</f>
        <v>2</v>
      </c>
      <c r="B4" s="22">
        <f>IF(A4&lt;=NPer,1,0)</f>
        <v>1</v>
      </c>
      <c r="C4" s="23">
        <f>EDATE(ValDate,3*(A4-1))</f>
        <v>46408</v>
      </c>
      <c r="D4" s="23">
        <f>EDATE(ValDate,3*A4)</f>
        <v>46498</v>
      </c>
      <c r="E4" s="24">
        <f>(D4-C4)/360</f>
        <v>0.25</v>
      </c>
      <c r="F4" s="24">
        <f>(C4-ValDate)/365</f>
        <v>0.252054794520548</v>
      </c>
      <c r="G4" s="24">
        <f>(D4-ValDate)/365</f>
        <v>0.498630136986301</v>
      </c>
      <c r="H4" s="25">
        <f>B4*Notional*IF(Linear=1,1-(A4-1)/NPer,1)</f>
        <v>50000000</v>
      </c>
      <c r="I4" s="26">
        <f>(IR_DF("EURIBOR",C4,MktData,MktShift)/IR_DF("EURIBOR",D4,MktData,MktShift)-1)/E4</f>
        <v>0.0197397760415852</v>
      </c>
      <c r="J4" s="27">
        <f>IR_DF("ESTR",D4,MktData,MktShift)</f>
        <v>0.990585039524343</v>
      </c>
      <c r="K4" s="25">
        <f>H4*E4*J4</f>
        <v>12382312.9940543</v>
      </c>
      <c r="L4" s="22">
        <f>IF(A4=1,0,1)</f>
        <v>1</v>
      </c>
      <c r="M4" s="26">
        <f>CapVolBp/10000*SQRT(F4)</f>
        <v>0.00396626843191572</v>
      </c>
      <c r="N4" s="24">
        <f>IF(M4&gt;0,(I4-CapStrike)/M4,0)</f>
        <v>-2.58687079166226</v>
      </c>
      <c r="O4" s="25">
        <f>K4*IF(M4&gt;0,(I4-CapStrike)*NORMSDIST(N4)+M4*NORMDIST(N4,0,1,FALSE),MAX(I4-CapStrike,0))</f>
        <v>74.9571432126716</v>
      </c>
      <c r="P4" s="24">
        <f>IF(M4&gt;0,I4/M4,0)</f>
        <v>4.9769137869599</v>
      </c>
      <c r="Q4" s="25">
        <f>K4*IF(M4&gt;0,(0-I4)*NORMSDIST(-P4)+M4*NORMDIST(P4,0,1,FALSE),MAX(-I4,0))</f>
        <v>0.00297081927143475</v>
      </c>
      <c r="R4" s="24">
        <f>IF(M4&gt;0,(I4-CollarFloor)/M4,0)</f>
        <v>0.813004664979386</v>
      </c>
      <c r="S4" s="25">
        <f>K4*IF(M4&gt;0,(CollarFloor-I4)*NORMSDIST(-R4)+M4*NORMDIST(R4,0,1,FALSE),MAX(CollarFloor-I4,0))</f>
        <v>5769.45800170931</v>
      </c>
      <c r="T4" s="25">
        <f>K4*(I4-SwapRate)</f>
        <v>-35257.7420287589</v>
      </c>
      <c r="U4" s="25">
        <f>K4*(I4-FSwapRate)</f>
        <v>-37476.5191410022</v>
      </c>
    </row>
    <row r="5" spans="1:21">
      <c r="A5" s="22">
        <f>ROW()-2</f>
        <v>3</v>
      </c>
      <c r="B5" s="22">
        <f>IF(A5&lt;=NPer,1,0)</f>
        <v>1</v>
      </c>
      <c r="C5" s="23">
        <f>EDATE(ValDate,3*(A5-1))</f>
        <v>46498</v>
      </c>
      <c r="D5" s="23">
        <f>EDATE(ValDate,3*A5)</f>
        <v>46589</v>
      </c>
      <c r="E5" s="24">
        <f>(D5-C5)/360</f>
        <v>0.252777777777778</v>
      </c>
      <c r="F5" s="24">
        <f>(C5-ValDate)/365</f>
        <v>0.498630136986301</v>
      </c>
      <c r="G5" s="24">
        <f>(D5-ValDate)/365</f>
        <v>0.747945205479452</v>
      </c>
      <c r="H5" s="25">
        <f>B5*Notional*IF(Linear=1,1-(A5-1)/NPer,1)</f>
        <v>50000000</v>
      </c>
      <c r="I5" s="26">
        <f>(IR_DF("EURIBOR",C5,MktData,MktShift)/IR_DF("EURIBOR",D5,MktData,MktShift)-1)/E5</f>
        <v>0.0197403163560983</v>
      </c>
      <c r="J5" s="27">
        <f>IR_DF("ESTR",D5,MktData,MktShift)</f>
        <v>0.986003453083767</v>
      </c>
      <c r="K5" s="25">
        <f>H5*E5*J5</f>
        <v>12461988.0875865</v>
      </c>
      <c r="L5" s="22">
        <f>IF(A5=1,0,1)</f>
        <v>1</v>
      </c>
      <c r="M5" s="26">
        <f>CapVolBp/10000*SQRT(F5)</f>
        <v>0.00557858280260711</v>
      </c>
      <c r="N5" s="24">
        <f>IF(M5&gt;0,(I5-CapStrike)/M5,0)</f>
        <v>-1.83912007886786</v>
      </c>
      <c r="O5" s="25">
        <f>K5*IF(M5&gt;0,(I5-CapStrike)*NORMSDIST(N5)+M5*NORMDIST(N5,0,1,FALSE),MAX(I5-CapStrike,0))</f>
        <v>898.826953930395</v>
      </c>
      <c r="P5" s="24">
        <f>IF(M5&gt;0,I5/M5,0)</f>
        <v>3.53858982730755</v>
      </c>
      <c r="Q5" s="25">
        <f>K5*IF(M5&gt;0,(0-I5)*NORMSDIST(-P5)+M5*NORMDIST(P5,0,1,FALSE),MAX(-I5,0))</f>
        <v>3.48471721391034</v>
      </c>
      <c r="R5" s="24">
        <f>IF(M5&gt;0,(I5-CollarFloor)/M5,0)</f>
        <v>0.578128023969437</v>
      </c>
      <c r="S5" s="25">
        <f>K5*IF(M5&gt;0,(CollarFloor-I5)*NORMSDIST(-R5)+M5*NORMDIST(R5,0,1,FALSE),MAX(CollarFloor-I5,0))</f>
        <v>12148.7468928591</v>
      </c>
      <c r="T5" s="25">
        <f>K5*(I5-SwapRate)</f>
        <v>-35477.8777106154</v>
      </c>
      <c r="U5" s="25">
        <f>K5*(I5-FSwapRate)</f>
        <v>-37710.931741398</v>
      </c>
    </row>
    <row r="6" spans="1:21">
      <c r="A6" s="22">
        <f>ROW()-2</f>
        <v>4</v>
      </c>
      <c r="B6" s="22">
        <f>IF(A6&lt;=NPer,1,0)</f>
        <v>1</v>
      </c>
      <c r="C6" s="23">
        <f>EDATE(ValDate,3*(A6-1))</f>
        <v>46589</v>
      </c>
      <c r="D6" s="23">
        <f>EDATE(ValDate,3*A6)</f>
        <v>46681</v>
      </c>
      <c r="E6" s="24">
        <f>(D6-C6)/360</f>
        <v>0.255555555555556</v>
      </c>
      <c r="F6" s="24">
        <f>(C6-ValDate)/365</f>
        <v>0.747945205479452</v>
      </c>
      <c r="G6" s="24">
        <f>(D6-ValDate)/365</f>
        <v>1</v>
      </c>
      <c r="H6" s="25">
        <f>B6*Notional*IF(Linear=1,1-(A6-1)/NPer,1)</f>
        <v>50000000</v>
      </c>
      <c r="I6" s="26">
        <f>(IR_DF("EURIBOR",C6,MktData,MktShift)/IR_DF("EURIBOR",D6,MktData,MktShift)-1)/E6</f>
        <v>0.0197408566903227</v>
      </c>
      <c r="J6" s="27">
        <f>IR_DF("ESTR",D6,MktData,MktShift)</f>
        <v>0.981393060188019</v>
      </c>
      <c r="K6" s="25">
        <f>H6*E6*J6</f>
        <v>12540022.4357358</v>
      </c>
      <c r="L6" s="22">
        <f>IF(A6=1,0,1)</f>
        <v>1</v>
      </c>
      <c r="M6" s="26">
        <f>CapVolBp/10000*SQRT(F6)</f>
        <v>0.00683234067712638</v>
      </c>
      <c r="N6" s="24">
        <f>IF(M6&gt;0,(I6-CapStrike)/M6,0)</f>
        <v>-1.50155617152161</v>
      </c>
      <c r="O6" s="25">
        <f>K6*IF(M6&gt;0,(I6-CapStrike)*NORMSDIST(N6)+M6*NORMDIST(N6,0,1,FALSE),MAX(I6-CapStrike,0))</f>
        <v>2502.04491647992</v>
      </c>
      <c r="P6" s="24">
        <f>IF(M6&gt;0,I6/M6,0)</f>
        <v>2.88932558009176</v>
      </c>
      <c r="Q6" s="25">
        <f>K6*IF(M6&gt;0,(0-I6)*NORMSDIST(-P6)+M6*NORMDIST(P6,0,1,FALSE),MAX(-I6,0))</f>
        <v>48.1451276171161</v>
      </c>
      <c r="R6" s="24">
        <f>IF(M6&gt;0,(I6-CollarFloor)/M6,0)</f>
        <v>0.472118639699067</v>
      </c>
      <c r="S6" s="25">
        <f>K6*IF(M6&gt;0,(CollarFloor-I6)*NORMSDIST(-R6)+M6*NORMDIST(R6,0,1,FALSE),MAX(CollarFloor-I6,0))</f>
        <v>17695.5712909852</v>
      </c>
      <c r="T6" s="25">
        <f>K6*(I6-SwapRate)</f>
        <v>-35693.2569151243</v>
      </c>
      <c r="U6" s="25">
        <f>K6*(I6-FSwapRate)</f>
        <v>-37940.2938605471</v>
      </c>
    </row>
    <row r="7" spans="1:21">
      <c r="A7" s="22">
        <f>ROW()-2</f>
        <v>5</v>
      </c>
      <c r="B7" s="22">
        <f>IF(A7&lt;=NPer,1,0)</f>
        <v>1</v>
      </c>
      <c r="C7" s="23">
        <f>EDATE(ValDate,3*(A7-1))</f>
        <v>46681</v>
      </c>
      <c r="D7" s="23">
        <f>EDATE(ValDate,3*A7)</f>
        <v>46773</v>
      </c>
      <c r="E7" s="24">
        <f>(D7-C7)/360</f>
        <v>0.255555555555556</v>
      </c>
      <c r="F7" s="24">
        <f>(C7-ValDate)/365</f>
        <v>1</v>
      </c>
      <c r="G7" s="24">
        <f>(D7-ValDate)/365</f>
        <v>1.25205479452055</v>
      </c>
      <c r="H7" s="25">
        <f>B7*Notional*IF(Linear=1,1-(A7-1)/NPer,1)</f>
        <v>50000000</v>
      </c>
      <c r="I7" s="26">
        <f>(IR_DF("EURIBOR",C7,MktData,MktShift)/IR_DF("EURIBOR",D7,MktData,MktShift)-1)/E7</f>
        <v>0.0208052931488843</v>
      </c>
      <c r="J7" s="27">
        <f>IR_DF("ESTR",D7,MktData,MktShift)</f>
        <v>0.976511180201439</v>
      </c>
      <c r="K7" s="25">
        <f>H7*E7*J7</f>
        <v>12477642.8581295</v>
      </c>
      <c r="L7" s="22">
        <f>IF(A7=1,0,1)</f>
        <v>1</v>
      </c>
      <c r="M7" s="26">
        <f>CapVolBp/10000*SQRT(F7)</f>
        <v>0.00790013698630137</v>
      </c>
      <c r="N7" s="24">
        <f>IF(M7&gt;0,(I7-CapStrike)/M7,0)</f>
        <v>-1.16386676168516</v>
      </c>
      <c r="O7" s="25">
        <f>K7*IF(M7&gt;0,(I7-CapStrike)*NORMSDIST(N7)+M7*NORMDIST(N7,0,1,FALSE),MAX(I7-CapStrike,0))</f>
        <v>5952.8405617271</v>
      </c>
      <c r="P7" s="24">
        <f>IF(M7&gt;0,I7/M7,0)</f>
        <v>2.63353574564088</v>
      </c>
      <c r="Q7" s="25">
        <f>K7*IF(M7&gt;0,(0-I7)*NORMSDIST(-P7)+M7*NORMDIST(P7,0,1,FALSE),MAX(-I7,0))</f>
        <v>129.624668880883</v>
      </c>
      <c r="R7" s="24">
        <f>IF(M7&gt;0,(I7-CollarFloor)/M7,0)</f>
        <v>0.543042715897965</v>
      </c>
      <c r="S7" s="25">
        <f>K7*IF(M7&gt;0,(CollarFloor-I7)*NORMSDIST(-R7)+M7*NORMDIST(R7,0,1,FALSE),MAX(CollarFloor-I7,0))</f>
        <v>18220.6210513354</v>
      </c>
      <c r="T7" s="25">
        <f>K7*(I7-SwapRate)</f>
        <v>-22234.0450081068</v>
      </c>
      <c r="U7" s="25">
        <f>K7*(I7-FSwapRate)</f>
        <v>-24469.9042051452</v>
      </c>
    </row>
    <row r="8" spans="1:21">
      <c r="A8" s="22">
        <f>ROW()-2</f>
        <v>6</v>
      </c>
      <c r="B8" s="22">
        <f>IF(A8&lt;=NPer,1,0)</f>
        <v>1</v>
      </c>
      <c r="C8" s="23">
        <f>EDATE(ValDate,3*(A8-1))</f>
        <v>46773</v>
      </c>
      <c r="D8" s="23">
        <f>EDATE(ValDate,3*A8)</f>
        <v>46864</v>
      </c>
      <c r="E8" s="24">
        <f>(D8-C8)/360</f>
        <v>0.252777777777778</v>
      </c>
      <c r="F8" s="24">
        <f>(C8-ValDate)/365</f>
        <v>1.25205479452055</v>
      </c>
      <c r="G8" s="24">
        <f>(D8-ValDate)/365</f>
        <v>1.5013698630137</v>
      </c>
      <c r="H8" s="25">
        <f>B8*Notional*IF(Linear=1,1-(A8-1)/NPer,1)</f>
        <v>50000000</v>
      </c>
      <c r="I8" s="26">
        <f>(IR_DF("EURIBOR",C8,MktData,MktShift)/IR_DF("EURIBOR",D8,MktData,MktShift)-1)/E8</f>
        <v>0.0208046930283406</v>
      </c>
      <c r="J8" s="27">
        <f>IR_DF("ESTR",D8,MktData,MktShift)</f>
        <v>0.971706254663224</v>
      </c>
      <c r="K8" s="25">
        <f>H8*E8*J8</f>
        <v>12281287.3853269</v>
      </c>
      <c r="L8" s="22">
        <f>IF(A8=1,0,1)</f>
        <v>1</v>
      </c>
      <c r="M8" s="26">
        <f>CapVolBp/10000*SQRT(F8)</f>
        <v>0.00883987837452179</v>
      </c>
      <c r="N8" s="24">
        <f>IF(M8&gt;0,(I8-CapStrike)/M8,0)</f>
        <v>-1.04020740807499</v>
      </c>
      <c r="O8" s="25">
        <f>K8*IF(M8&gt;0,(I8-CapStrike)*NORMSDIST(N8)+M8*NORMDIST(N8,0,1,FALSE),MAX(I8-CapStrike,0))</f>
        <v>8373.55157259289</v>
      </c>
      <c r="P8" s="24">
        <f>IF(M8&gt;0,I8/M8,0)</f>
        <v>2.35350444281039</v>
      </c>
      <c r="Q8" s="25">
        <f>K8*IF(M8&gt;0,(0-I8)*NORMSDIST(-P8)+M8*NORMDIST(P8,0,1,FALSE),MAX(-I8,0))</f>
        <v>339.452754602238</v>
      </c>
      <c r="R8" s="24">
        <f>IF(M8&gt;0,(I8-CollarFloor)/M8,0)</f>
        <v>0.485245559127435</v>
      </c>
      <c r="S8" s="25">
        <f>K8*IF(M8&gt;0,(CollarFloor-I8)*NORMSDIST(-R8)+M8*NORMDIST(R8,0,1,FALSE),MAX(CollarFloor-I8,0))</f>
        <v>21972.1916538362</v>
      </c>
      <c r="T8" s="25">
        <f>K8*(I8-SwapRate)</f>
        <v>-21891.5273478825</v>
      </c>
      <c r="U8" s="25">
        <f>K8*(I8-FSwapRate)</f>
        <v>-24092.2017592409</v>
      </c>
    </row>
    <row r="9" spans="1:21">
      <c r="A9" s="22">
        <f>ROW()-2</f>
        <v>7</v>
      </c>
      <c r="B9" s="22">
        <f>IF(A9&lt;=NPer,1,0)</f>
        <v>1</v>
      </c>
      <c r="C9" s="23">
        <f>EDATE(ValDate,3*(A9-1))</f>
        <v>46864</v>
      </c>
      <c r="D9" s="23">
        <f>EDATE(ValDate,3*A9)</f>
        <v>46955</v>
      </c>
      <c r="E9" s="24">
        <f>(D9-C9)/360</f>
        <v>0.252777777777778</v>
      </c>
      <c r="F9" s="24">
        <f>(C9-ValDate)/365</f>
        <v>1.5013698630137</v>
      </c>
      <c r="G9" s="24">
        <f>(D9-ValDate)/365</f>
        <v>1.75068493150685</v>
      </c>
      <c r="H9" s="25">
        <f>B9*Notional*IF(Linear=1,1-(A9-1)/NPer,1)</f>
        <v>50000000</v>
      </c>
      <c r="I9" s="26">
        <f>(IR_DF("EURIBOR",C9,MktData,MktShift)/IR_DF("EURIBOR",D9,MktData,MktShift)-1)/E9</f>
        <v>0.0208046930283414</v>
      </c>
      <c r="J9" s="27">
        <f>IR_DF("ESTR",D9,MktData,MktShift)</f>
        <v>0.966924971772318</v>
      </c>
      <c r="K9" s="25">
        <f>H9*E9*J9</f>
        <v>12220857.2821224</v>
      </c>
      <c r="L9" s="22">
        <f>IF(A9=1,0,1)</f>
        <v>1</v>
      </c>
      <c r="M9" s="26">
        <f>CapVolBp/10000*SQRT(F9)</f>
        <v>0.00968006935507747</v>
      </c>
      <c r="N9" s="24">
        <f>IF(M9&gt;0,(I9-CapStrike)/M9,0)</f>
        <v>-0.949921600183098</v>
      </c>
      <c r="O9" s="25">
        <f>K9*IF(M9&gt;0,(I9-CapStrike)*NORMSDIST(N9)+M9*NORMDIST(N9,0,1,FALSE),MAX(I9-CapStrike,0))</f>
        <v>10832.5153901145</v>
      </c>
      <c r="P9" s="24">
        <f>IF(M9&gt;0,I9/M9,0)</f>
        <v>2.14922974879604</v>
      </c>
      <c r="Q9" s="25">
        <f>K9*IF(M9&gt;0,(0-I9)*NORMSDIST(-P9)+M9*NORMDIST(P9,0,1,FALSE),MAX(-I9,0))</f>
        <v>667.246351125862</v>
      </c>
      <c r="R9" s="24">
        <f>IF(M9&gt;0,(I9-CollarFloor)/M9,0)</f>
        <v>0.443128201577838</v>
      </c>
      <c r="S9" s="25">
        <f>K9*IF(M9&gt;0,(CollarFloor-I9)*NORMSDIST(-R9)+M9*NORMDIST(R9,0,1,FALSE),MAX(CollarFloor-I9,0))</f>
        <v>25542.8619785626</v>
      </c>
      <c r="T9" s="25">
        <f>K9*(I9-SwapRate)</f>
        <v>-21783.8100365321</v>
      </c>
      <c r="U9" s="25">
        <f>K9*(I9-FSwapRate)</f>
        <v>-23973.6560243201</v>
      </c>
    </row>
    <row r="10" spans="1:21">
      <c r="A10" s="22">
        <f>ROW()-2</f>
        <v>8</v>
      </c>
      <c r="B10" s="22">
        <f>IF(A10&lt;=NPer,1,0)</f>
        <v>1</v>
      </c>
      <c r="C10" s="23">
        <f>EDATE(ValDate,3*(A10-1))</f>
        <v>46955</v>
      </c>
      <c r="D10" s="23">
        <f>EDATE(ValDate,3*A10)</f>
        <v>47047</v>
      </c>
      <c r="E10" s="24">
        <f>(D10-C10)/360</f>
        <v>0.255555555555556</v>
      </c>
      <c r="F10" s="24">
        <f>(C10-ValDate)/365</f>
        <v>1.75068493150685</v>
      </c>
      <c r="G10" s="24">
        <f>(D10-ValDate)/365</f>
        <v>2.0027397260274</v>
      </c>
      <c r="H10" s="25">
        <f>B10*Notional*IF(Linear=1,1-(A10-1)/NPer,1)</f>
        <v>50000000</v>
      </c>
      <c r="I10" s="26">
        <f>(IR_DF("EURIBOR",C10,MktData,MktShift)/IR_DF("EURIBOR",D10,MktData,MktShift)-1)/E10</f>
        <v>0.0208052931488843</v>
      </c>
      <c r="J10" s="27">
        <f>IR_DF("ESTR",D10,MktData,MktShift)</f>
        <v>0.962115062410095</v>
      </c>
      <c r="K10" s="25">
        <f>H10*E10*J10</f>
        <v>12293692.464129</v>
      </c>
      <c r="L10" s="22">
        <f>IF(A10=1,0,1)</f>
        <v>1</v>
      </c>
      <c r="M10" s="26">
        <f>CapVolBp/10000*SQRT(F10)</f>
        <v>0.0104529438801651</v>
      </c>
      <c r="N10" s="24">
        <f>IF(M10&gt;0,(I10-CapStrike)/M10,0)</f>
        <v>-0.879628452666146</v>
      </c>
      <c r="O10" s="25">
        <f>K10*IF(M10&gt;0,(I10-CapStrike)*NORMSDIST(N10)+M10*NORMDIST(N10,0,1,FALSE),MAX(I10-CapStrike,0))</f>
        <v>13394.9116116395</v>
      </c>
      <c r="P10" s="24">
        <f>IF(M10&gt;0,I10/M10,0)</f>
        <v>1.99037643245776</v>
      </c>
      <c r="Q10" s="25">
        <f>K10*IF(M10&gt;0,(0-I10)*NORMSDIST(-P10)+M10*NORMDIST(P10,0,1,FALSE),MAX(-I10,0))</f>
        <v>1119.55805963442</v>
      </c>
      <c r="R10" s="24">
        <f>IF(M10&gt;0,(I10-CollarFloor)/M10,0)</f>
        <v>0.41042139842994</v>
      </c>
      <c r="S10" s="25">
        <f>K10*IF(M10&gt;0,(CollarFloor-I10)*NORMSDIST(-R10)+M10*NORMDIST(R10,0,1,FALSE),MAX(CollarFloor-I10,0))</f>
        <v>29153.7121152669</v>
      </c>
      <c r="T10" s="25">
        <f>K10*(I10-SwapRate)</f>
        <v>-21906.2618373614</v>
      </c>
      <c r="U10" s="25">
        <f>K10*(I10-FSwapRate)</f>
        <v>-24109.1591052196</v>
      </c>
    </row>
    <row r="11" spans="1:21">
      <c r="A11" s="22">
        <f>ROW()-2</f>
        <v>9</v>
      </c>
      <c r="B11" s="22">
        <f>IF(A11&lt;=NPer,1,0)</f>
        <v>1</v>
      </c>
      <c r="C11" s="23">
        <f>EDATE(ValDate,3*(A11-1))</f>
        <v>47047</v>
      </c>
      <c r="D11" s="23">
        <f>EDATE(ValDate,3*A11)</f>
        <v>47139</v>
      </c>
      <c r="E11" s="24">
        <f>(D11-C11)/360</f>
        <v>0.255555555555556</v>
      </c>
      <c r="F11" s="24">
        <f>(C11-ValDate)/365</f>
        <v>2.0027397260274</v>
      </c>
      <c r="G11" s="24">
        <f>(D11-ValDate)/365</f>
        <v>2.25479452054795</v>
      </c>
      <c r="H11" s="25">
        <f>B11*Notional*IF(Linear=1,1-(A11-1)/NPer,1)</f>
        <v>50000000</v>
      </c>
      <c r="I11" s="26">
        <f>(IR_DF("EURIBOR",C11,MktData,MktShift)/IR_DF("EURIBOR",D11,MktData,MktShift)-1)/E11</f>
        <v>0.0227471088621678</v>
      </c>
      <c r="J11" s="27">
        <f>IR_DF("ESTR",D11,MktData,MktShift)</f>
        <v>0.956862961924321</v>
      </c>
      <c r="K11" s="25">
        <f>H11*E11*J11</f>
        <v>12226582.2912552</v>
      </c>
      <c r="L11" s="22">
        <f>IF(A11=1,0,1)</f>
        <v>1</v>
      </c>
      <c r="M11" s="26">
        <f>CapVolBp/10000*SQRT(F11)</f>
        <v>0.0111801306359046</v>
      </c>
      <c r="N11" s="24">
        <f>IF(M11&gt;0,(I11-CapStrike)/M11,0)</f>
        <v>-0.648730446363456</v>
      </c>
      <c r="O11" s="25">
        <f>K11*IF(M11&gt;0,(I11-CapStrike)*NORMSDIST(N11)+M11*NORMDIST(N11,0,1,FALSE),MAX(I11-CapStrike,0))</f>
        <v>21283.378027314</v>
      </c>
      <c r="P11" s="24">
        <f>IF(M11&gt;0,I11/M11,0)</f>
        <v>2.03460134795887</v>
      </c>
      <c r="Q11" s="25">
        <f>K11*IF(M11&gt;0,(0-I11)*NORMSDIST(-P11)+M11*NORMDIST(P11,0,1,FALSE),MAX(-I11,0))</f>
        <v>1057.34810733574</v>
      </c>
      <c r="R11" s="24">
        <f>IF(M11&gt;0,(I11-CollarFloor)/M11,0)</f>
        <v>0.557410978569159</v>
      </c>
      <c r="S11" s="25">
        <f>K11*IF(M11&gt;0,(CollarFloor-I11)*NORMSDIST(-R11)+M11*NORMDIST(R11,0,1,FALSE),MAX(CollarFloor-I11,0))</f>
        <v>24694.9595706508</v>
      </c>
      <c r="T11" s="25">
        <f>K11*(I11-SwapRate)</f>
        <v>1955.09210899951</v>
      </c>
      <c r="U11" s="25">
        <f>K11*(I11-FSwapRate)</f>
        <v>-235.779738758064</v>
      </c>
    </row>
    <row r="12" spans="1:21">
      <c r="A12" s="22">
        <f>ROW()-2</f>
        <v>10</v>
      </c>
      <c r="B12" s="22">
        <f>IF(A12&lt;=NPer,1,0)</f>
        <v>1</v>
      </c>
      <c r="C12" s="23">
        <f>EDATE(ValDate,3*(A12-1))</f>
        <v>47139</v>
      </c>
      <c r="D12" s="23">
        <f>EDATE(ValDate,3*A12)</f>
        <v>47229</v>
      </c>
      <c r="E12" s="24">
        <f>(D12-C12)/360</f>
        <v>0.25</v>
      </c>
      <c r="F12" s="24">
        <f>(C12-ValDate)/365</f>
        <v>2.25479452054795</v>
      </c>
      <c r="G12" s="24">
        <f>(D12-ValDate)/365</f>
        <v>2.5013698630137</v>
      </c>
      <c r="H12" s="25">
        <f>B12*Notional*IF(Linear=1,1-(A12-1)/NPer,1)</f>
        <v>50000000</v>
      </c>
      <c r="I12" s="26">
        <f>(IR_DF("EURIBOR",C12,MktData,MktShift)/IR_DF("EURIBOR",D12,MktData,MktShift)-1)/E12</f>
        <v>0.0227456743912517</v>
      </c>
      <c r="J12" s="27">
        <f>IR_DF("ESTR",D12,MktData,MktShift)</f>
        <v>0.951752781243093</v>
      </c>
      <c r="K12" s="25">
        <f>H12*E12*J12</f>
        <v>11896909.7655387</v>
      </c>
      <c r="L12" s="22">
        <f>IF(A12=1,0,1)</f>
        <v>1</v>
      </c>
      <c r="M12" s="26">
        <f>CapVolBp/10000*SQRT(F12)</f>
        <v>0.0118628245502454</v>
      </c>
      <c r="N12" s="24">
        <f>IF(M12&gt;0,(I12-CapStrike)/M12,0)</f>
        <v>-0.611517567171488</v>
      </c>
      <c r="O12" s="25">
        <f>K12*IF(M12&gt;0,(I12-CapStrike)*NORMSDIST(N12)+M12*NORMDIST(N12,0,1,FALSE),MAX(I12-CapStrike,0))</f>
        <v>23362.2611409658</v>
      </c>
      <c r="P12" s="24">
        <f>IF(M12&gt;0,I12/M12,0)</f>
        <v>1.91739111498377</v>
      </c>
      <c r="Q12" s="25">
        <f>K12*IF(M12&gt;0,(0-I12)*NORMSDIST(-P12)+M12*NORMDIST(P12,0,1,FALSE),MAX(-I12,0))</f>
        <v>1491.01355853536</v>
      </c>
      <c r="R12" s="24">
        <f>IF(M12&gt;0,(I12-CollarFloor)/M12,0)</f>
        <v>0.525211602092325</v>
      </c>
      <c r="S12" s="25">
        <f>K12*IF(M12&gt;0,(CollarFloor-I12)*NORMSDIST(-R12)+M12*NORMDIST(R12,0,1,FALSE),MAX(CollarFloor-I12,0))</f>
        <v>26833.1219980304</v>
      </c>
      <c r="T12" s="25">
        <f>K12*(I12-SwapRate)</f>
        <v>1885.31004011337</v>
      </c>
      <c r="U12" s="25">
        <f>K12*(I12-FSwapRate)</f>
        <v>-246.488042108915</v>
      </c>
    </row>
    <row r="13" spans="1:21">
      <c r="A13" s="22">
        <f>ROW()-2</f>
        <v>11</v>
      </c>
      <c r="B13" s="22">
        <f>IF(A13&lt;=NPer,1,0)</f>
        <v>1</v>
      </c>
      <c r="C13" s="23">
        <f>EDATE(ValDate,3*(A13-1))</f>
        <v>47229</v>
      </c>
      <c r="D13" s="23">
        <f>EDATE(ValDate,3*A13)</f>
        <v>47320</v>
      </c>
      <c r="E13" s="24">
        <f>(D13-C13)/360</f>
        <v>0.252777777777778</v>
      </c>
      <c r="F13" s="24">
        <f>(C13-ValDate)/365</f>
        <v>2.5013698630137</v>
      </c>
      <c r="G13" s="24">
        <f>(D13-ValDate)/365</f>
        <v>2.75068493150685</v>
      </c>
      <c r="H13" s="25">
        <f>B13*Notional*IF(Linear=1,1-(A13-1)/NPer,1)</f>
        <v>50000000</v>
      </c>
      <c r="I13" s="26">
        <f>(IR_DF("EURIBOR",C13,MktData,MktShift)/IR_DF("EURIBOR",D13,MktData,MktShift)-1)/E13</f>
        <v>0.0227463916116395</v>
      </c>
      <c r="J13" s="27">
        <f>IR_DF("ESTR",D13,MktData,MktShift)</f>
        <v>0.946613567973558</v>
      </c>
      <c r="K13" s="25">
        <f>H13*E13*J13</f>
        <v>11964143.7063325</v>
      </c>
      <c r="L13" s="22">
        <f>IF(A13=1,0,1)</f>
        <v>1</v>
      </c>
      <c r="M13" s="26">
        <f>CapVolBp/10000*SQRT(F13)</f>
        <v>0.0124946351335858</v>
      </c>
      <c r="N13" s="24">
        <f>IF(M13&gt;0,(I13-CapStrike)/M13,0)</f>
        <v>-0.580537831702076</v>
      </c>
      <c r="O13" s="25">
        <f>K13*IF(M13&gt;0,(I13-CapStrike)*NORMSDIST(N13)+M13*NORMDIST(N13,0,1,FALSE),MAX(I13-CapStrike,0))</f>
        <v>26021.8533075873</v>
      </c>
      <c r="P13" s="24">
        <f>IF(M13&gt;0,I13/M13,0)</f>
        <v>1.82049266492759</v>
      </c>
      <c r="Q13" s="25">
        <f>K13*IF(M13&gt;0,(0-I13)*NORMSDIST(-P13)+M13*NORMDIST(P13,0,1,FALSE),MAX(-I13,0))</f>
        <v>2026.40186018089</v>
      </c>
      <c r="R13" s="24">
        <f>IF(M13&gt;0,(I13-CollarFloor)/M13,0)</f>
        <v>0.498710865995013</v>
      </c>
      <c r="S13" s="25">
        <f>K13*IF(M13&gt;0,(CollarFloor-I13)*NORMSDIST(-R13)+M13*NORMDIST(R13,0,1,FALSE),MAX(CollarFloor-I13,0))</f>
        <v>29627.6365655647</v>
      </c>
      <c r="T13" s="25">
        <f>K13*(I13-SwapRate)</f>
        <v>1904.54556864366</v>
      </c>
      <c r="U13" s="25">
        <f>K13*(I13-FSwapRate)</f>
        <v>-239.300111557363</v>
      </c>
    </row>
    <row r="14" spans="1:21">
      <c r="A14" s="22">
        <f>ROW()-2</f>
        <v>12</v>
      </c>
      <c r="B14" s="22">
        <f>IF(A14&lt;=NPer,1,0)</f>
        <v>1</v>
      </c>
      <c r="C14" s="23">
        <f>EDATE(ValDate,3*(A14-1))</f>
        <v>47320</v>
      </c>
      <c r="D14" s="23">
        <f>EDATE(ValDate,3*A14)</f>
        <v>47412</v>
      </c>
      <c r="E14" s="24">
        <f>(D14-C14)/360</f>
        <v>0.255555555555556</v>
      </c>
      <c r="F14" s="24">
        <f>(C14-ValDate)/365</f>
        <v>2.75068493150685</v>
      </c>
      <c r="G14" s="24">
        <f>(D14-ValDate)/365</f>
        <v>3.0027397260274</v>
      </c>
      <c r="H14" s="25">
        <f>B14*Notional*IF(Linear=1,1-(A14-1)/NPer,1)</f>
        <v>50000000</v>
      </c>
      <c r="I14" s="26">
        <f>(IR_DF("EURIBOR",C14,MktData,MktShift)/IR_DF("EURIBOR",D14,MktData,MktShift)-1)/E14</f>
        <v>0.0227471088621678</v>
      </c>
      <c r="J14" s="27">
        <f>IR_DF("ESTR",D14,MktData,MktShift)</f>
        <v>0.941446088766092</v>
      </c>
      <c r="K14" s="25">
        <f>H14*E14*J14</f>
        <v>12029588.9120112</v>
      </c>
      <c r="L14" s="22">
        <f>IF(A14=1,0,1)</f>
        <v>1</v>
      </c>
      <c r="M14" s="26">
        <f>CapVolBp/10000*SQRT(F14)</f>
        <v>0.0131025264801949</v>
      </c>
      <c r="N14" s="24">
        <f>IF(M14&gt;0,(I14-CapStrike)/M14,0)</f>
        <v>-0.553549053977891</v>
      </c>
      <c r="O14" s="25">
        <f>K14*IF(M14&gt;0,(I14-CapStrike)*NORMSDIST(N14)+M14*NORMDIST(N14,0,1,FALSE),MAX(I14-CapStrike,0))</f>
        <v>28650.9887228913</v>
      </c>
      <c r="P14" s="24">
        <f>IF(M14&gt;0,I14/M14,0)</f>
        <v>1.73608570046023</v>
      </c>
      <c r="Q14" s="25">
        <f>K14*IF(M14&gt;0,(0-I14)*NORMSDIST(-P14)+M14*NORMDIST(P14,0,1,FALSE),MAX(-I14,0))</f>
        <v>2638.46388690467</v>
      </c>
      <c r="R14" s="24">
        <f>IF(M14&gt;0,(I14-CollarFloor)/M14,0)</f>
        <v>0.475627930820097</v>
      </c>
      <c r="S14" s="25">
        <f>K14*IF(M14&gt;0,(CollarFloor-I14)*NORMSDIST(-R14)+M14*NORMDIST(R14,0,1,FALSE),MAX(CollarFloor-I14,0))</f>
        <v>32378.0864147173</v>
      </c>
      <c r="T14" s="25">
        <f>K14*(I14-SwapRate)</f>
        <v>1923.5918751557</v>
      </c>
      <c r="U14" s="25">
        <f>K14*(I14-FSwapRate)</f>
        <v>-231.980880958821</v>
      </c>
    </row>
    <row r="15" spans="1:21">
      <c r="A15" s="22">
        <f>ROW()-2</f>
        <v>13</v>
      </c>
      <c r="B15" s="22">
        <f>IF(A15&lt;=NPer,1,0)</f>
        <v>1</v>
      </c>
      <c r="C15" s="23">
        <f>EDATE(ValDate,3*(A15-1))</f>
        <v>47412</v>
      </c>
      <c r="D15" s="23">
        <f>EDATE(ValDate,3*A15)</f>
        <v>47504</v>
      </c>
      <c r="E15" s="24">
        <f>(D15-C15)/360</f>
        <v>0.255555555555556</v>
      </c>
      <c r="F15" s="24">
        <f>(C15-ValDate)/365</f>
        <v>3.0027397260274</v>
      </c>
      <c r="G15" s="24">
        <f>(D15-ValDate)/365</f>
        <v>3.25479452054795</v>
      </c>
      <c r="H15" s="25">
        <f>B15*Notional*IF(Linear=1,1-(A15-1)/NPer,1)</f>
        <v>50000000</v>
      </c>
      <c r="I15" s="26">
        <f>(IR_DF("EURIBOR",C15,MktData,MktShift)/IR_DF("EURIBOR",D15,MktData,MktShift)-1)/E15</f>
        <v>0.0243540406875651</v>
      </c>
      <c r="J15" s="27">
        <f>IR_DF("ESTR",D15,MktData,MktShift)</f>
        <v>0.935919017803064</v>
      </c>
      <c r="K15" s="25">
        <f>H15*E15*J15</f>
        <v>11958965.2274836</v>
      </c>
      <c r="L15" s="22">
        <f>IF(A15=1,0,1)</f>
        <v>1</v>
      </c>
      <c r="M15" s="26">
        <f>CapVolBp/10000*SQRT(F15)</f>
        <v>0.0136896853666627</v>
      </c>
      <c r="N15" s="24">
        <f>IF(M15&gt;0,(I15-CapStrike)/M15,0)</f>
        <v>-0.412424329793878</v>
      </c>
      <c r="O15" s="25">
        <f>K15*IF(M15&gt;0,(I15-CapStrike)*NORMSDIST(N15)+M15*NORMDIST(N15,0,1,FALSE),MAX(I15-CapStrike,0))</f>
        <v>37029.9311332573</v>
      </c>
      <c r="P15" s="24">
        <f>IF(M15&gt;0,I15/M15,0)</f>
        <v>1.77900660499271</v>
      </c>
      <c r="Q15" s="25">
        <f>K15*IF(M15&gt;0,(0-I15)*NORMSDIST(-P15)+M15*NORMDIST(P15,0,1,FALSE),MAX(-I15,0))</f>
        <v>2463.4937378491</v>
      </c>
      <c r="R15" s="24">
        <f>IF(M15&gt;0,(I15-CollarFloor)/M15,0)</f>
        <v>0.572610631561856</v>
      </c>
      <c r="S15" s="25">
        <f>K15*IF(M15&gt;0,(CollarFloor-I15)*NORMSDIST(-R15)+M15*NORMDIST(R15,0,1,FALSE),MAX(CollarFloor-I15,0))</f>
        <v>28864.5017594823</v>
      </c>
      <c r="T15" s="25">
        <f>K15*(I15-SwapRate)</f>
        <v>21129.5406150418</v>
      </c>
      <c r="U15" s="25">
        <f>K15*(I15-FSwapRate)</f>
        <v>18986.6228624704</v>
      </c>
    </row>
    <row r="16" spans="1:21">
      <c r="A16" s="22">
        <f>ROW()-2</f>
        <v>14</v>
      </c>
      <c r="B16" s="22">
        <f>IF(A16&lt;=NPer,1,0)</f>
        <v>1</v>
      </c>
      <c r="C16" s="23">
        <f>EDATE(ValDate,3*(A16-1))</f>
        <v>47504</v>
      </c>
      <c r="D16" s="23">
        <f>EDATE(ValDate,3*A16)</f>
        <v>47594</v>
      </c>
      <c r="E16" s="24">
        <f>(D16-C16)/360</f>
        <v>0.25</v>
      </c>
      <c r="F16" s="24">
        <f>(C16-ValDate)/365</f>
        <v>3.25479452054795</v>
      </c>
      <c r="G16" s="24">
        <f>(D16-ValDate)/365</f>
        <v>3.5013698630137</v>
      </c>
      <c r="H16" s="25">
        <f>B16*Notional*IF(Linear=1,1-(A16-1)/NPer,1)</f>
        <v>50000000</v>
      </c>
      <c r="I16" s="26">
        <f>(IR_DF("EURIBOR",C16,MktData,MktShift)/IR_DF("EURIBOR",D16,MktData,MktShift)-1)/E16</f>
        <v>0.0243523966153409</v>
      </c>
      <c r="J16" s="27">
        <f>IR_DF("ESTR",D16,MktData,MktShift)</f>
        <v>0.93054349995855</v>
      </c>
      <c r="K16" s="25">
        <f>H16*E16*J16</f>
        <v>11631793.7494819</v>
      </c>
      <c r="L16" s="22">
        <f>IF(A16=1,0,1)</f>
        <v>1</v>
      </c>
      <c r="M16" s="26">
        <f>CapVolBp/10000*SQRT(F16)</f>
        <v>0.0142526759140953</v>
      </c>
      <c r="N16" s="24">
        <f>IF(M16&gt;0,(I16-CapStrike)/M16,0)</f>
        <v>-0.396248635603496</v>
      </c>
      <c r="O16" s="25">
        <f>K16*IF(M16&gt;0,(I16-CapStrike)*NORMSDIST(N16)+M16*NORMDIST(N16,0,1,FALSE),MAX(I16-CapStrike,0))</f>
        <v>38417.8439958704</v>
      </c>
      <c r="P16" s="24">
        <f>IF(M16&gt;0,I16/M16,0)</f>
        <v>1.70861926294539</v>
      </c>
      <c r="Q16" s="25">
        <f>K16*IF(M16&gt;0,(0-I16)*NORMSDIST(-P16)+M16*NORMDIST(P16,0,1,FALSE),MAX(-I16,0))</f>
        <v>2968.7215936479</v>
      </c>
      <c r="R16" s="24">
        <f>IF(M16&gt;0,(I16-CollarFloor)/M16,0)</f>
        <v>0.54987676410386</v>
      </c>
      <c r="S16" s="25">
        <f>K16*IF(M16&gt;0,(CollarFloor-I16)*NORMSDIST(-R16)+M16*NORMDIST(R16,0,1,FALSE),MAX(CollarFloor-I16,0))</f>
        <v>30312.2975291617</v>
      </c>
      <c r="T16" s="25">
        <f>K16*(I16-SwapRate)</f>
        <v>20532.3584779528</v>
      </c>
      <c r="U16" s="25">
        <f>K16*(I16-FSwapRate)</f>
        <v>18448.0663301063</v>
      </c>
    </row>
    <row r="17" spans="1:21">
      <c r="A17" s="22">
        <f>ROW()-2</f>
        <v>15</v>
      </c>
      <c r="B17" s="22">
        <f>IF(A17&lt;=NPer,1,0)</f>
        <v>1</v>
      </c>
      <c r="C17" s="23">
        <f>EDATE(ValDate,3*(A17-1))</f>
        <v>47594</v>
      </c>
      <c r="D17" s="23">
        <f>EDATE(ValDate,3*A17)</f>
        <v>47685</v>
      </c>
      <c r="E17" s="24">
        <f>(D17-C17)/360</f>
        <v>0.252777777777778</v>
      </c>
      <c r="F17" s="24">
        <f>(C17-ValDate)/365</f>
        <v>3.5013698630137</v>
      </c>
      <c r="G17" s="24">
        <f>(D17-ValDate)/365</f>
        <v>3.75068493150685</v>
      </c>
      <c r="H17" s="25">
        <f>B17*Notional*IF(Linear=1,1-(A17-1)/NPer,1)</f>
        <v>50000000</v>
      </c>
      <c r="I17" s="26">
        <f>(IR_DF("EURIBOR",C17,MktData,MktShift)/IR_DF("EURIBOR",D17,MktData,MktShift)-1)/E17</f>
        <v>0.024353218632964</v>
      </c>
      <c r="J17" s="27">
        <f>IR_DF("ESTR",D17,MktData,MktShift)</f>
        <v>0.92513964462433</v>
      </c>
      <c r="K17" s="25">
        <f>H17*E17*J17</f>
        <v>11692737.1751131</v>
      </c>
      <c r="L17" s="22">
        <f>IF(A17=1,0,1)</f>
        <v>1</v>
      </c>
      <c r="M17" s="26">
        <f>CapVolBp/10000*SQRT(F17)</f>
        <v>0.0147826950020544</v>
      </c>
      <c r="N17" s="24">
        <f>IF(M17&gt;0,(I17-CapStrike)/M17,0)</f>
        <v>-0.381985921122723</v>
      </c>
      <c r="O17" s="25">
        <f>K17*IF(M17&gt;0,(I17-CapStrike)*NORMSDIST(N17)+M17*NORMDIST(N17,0,1,FALSE),MAX(I17-CapStrike,0))</f>
        <v>40914.6703683823</v>
      </c>
      <c r="P17" s="24">
        <f>IF(M17&gt;0,I17/M17,0)</f>
        <v>1.64741399518691</v>
      </c>
      <c r="Q17" s="25">
        <f>K17*IF(M17&gt;0,(0-I17)*NORMSDIST(-P17)+M17*NORMDIST(P17,0,1,FALSE),MAX(-I17,0))</f>
        <v>3589.28181189601</v>
      </c>
      <c r="R17" s="24">
        <f>IF(M17&gt;0,(I17-CollarFloor)/M17,0)</f>
        <v>0.530217076656015</v>
      </c>
      <c r="S17" s="25">
        <f>K17*IF(M17&gt;0,(CollarFloor-I17)*NORMSDIST(-R17)+M17*NORMDIST(R17,0,1,FALSE),MAX(CollarFloor-I17,0))</f>
        <v>32605.309037349</v>
      </c>
      <c r="T17" s="25">
        <f>K17*(I17-SwapRate)</f>
        <v>20649.5470095813</v>
      </c>
      <c r="U17" s="25">
        <f>K17*(I17-FSwapRate)</f>
        <v>18554.3344563148</v>
      </c>
    </row>
    <row r="18" spans="1:21">
      <c r="A18" s="22">
        <f>ROW()-2</f>
        <v>16</v>
      </c>
      <c r="B18" s="22">
        <f>IF(A18&lt;=NPer,1,0)</f>
        <v>1</v>
      </c>
      <c r="C18" s="23">
        <f>EDATE(ValDate,3*(A18-1))</f>
        <v>47685</v>
      </c>
      <c r="D18" s="23">
        <f>EDATE(ValDate,3*A18)</f>
        <v>47777</v>
      </c>
      <c r="E18" s="24">
        <f>(D18-C18)/360</f>
        <v>0.255555555555556</v>
      </c>
      <c r="F18" s="24">
        <f>(C18-ValDate)/365</f>
        <v>3.75068493150685</v>
      </c>
      <c r="G18" s="24">
        <f>(D18-ValDate)/365</f>
        <v>4.0027397260274</v>
      </c>
      <c r="H18" s="25">
        <f>B18*Notional*IF(Linear=1,1-(A18-1)/NPer,1)</f>
        <v>50000000</v>
      </c>
      <c r="I18" s="26">
        <f>(IR_DF("EURIBOR",C18,MktData,MktShift)/IR_DF("EURIBOR",D18,MktData,MktShift)-1)/E18</f>
        <v>0.0243540406875651</v>
      </c>
      <c r="J18" s="27">
        <f>IR_DF("ESTR",D18,MktData,MktShift)</f>
        <v>0.919708306040461</v>
      </c>
      <c r="K18" s="25">
        <f>H18*E18*J18</f>
        <v>11751828.3549614</v>
      </c>
      <c r="L18" s="22">
        <f>IF(A18=1,0,1)</f>
        <v>1</v>
      </c>
      <c r="M18" s="26">
        <f>CapVolBp/10000*SQRT(F18)</f>
        <v>0.0152999465543686</v>
      </c>
      <c r="N18" s="24">
        <f>IF(M18&gt;0,(I18-CapStrike)/M18,0)</f>
        <v>-0.369018237571741</v>
      </c>
      <c r="O18" s="25">
        <f>K18*IF(M18&gt;0,(I18-CapStrike)*NORMSDIST(N18)+M18*NORMDIST(N18,0,1,FALSE),MAX(I18-CapStrike,0))</f>
        <v>43384.8572692342</v>
      </c>
      <c r="P18" s="24">
        <f>IF(M18&gt;0,I18/M18,0)</f>
        <v>1.59177292554733</v>
      </c>
      <c r="Q18" s="25">
        <f>K18*IF(M18&gt;0,(0-I18)*NORMSDIST(-P18)+M18*NORMDIST(P18,0,1,FALSE),MAX(-I18,0))</f>
        <v>4260.69997642758</v>
      </c>
      <c r="R18" s="24">
        <f>IF(M18&gt;0,(I18-CollarFloor)/M18,0)</f>
        <v>0.512345540282271</v>
      </c>
      <c r="S18" s="25">
        <f>K18*IF(M18&gt;0,(CollarFloor-I18)*NORMSDIST(-R18)+M18*NORMDIST(R18,0,1,FALSE),MAX(CollarFloor-I18,0))</f>
        <v>34884.2206537825</v>
      </c>
      <c r="T18" s="25">
        <f>K18*(I18-SwapRate)</f>
        <v>20763.5635528482</v>
      </c>
      <c r="U18" s="25">
        <f>K18*(I18-FSwapRate)</f>
        <v>18657.7624966545</v>
      </c>
    </row>
    <row r="19" spans="1:21">
      <c r="A19" s="22">
        <f>ROW()-2</f>
        <v>17</v>
      </c>
      <c r="B19" s="22">
        <f>IF(A19&lt;=NPer,1,0)</f>
        <v>1</v>
      </c>
      <c r="C19" s="23">
        <f>EDATE(ValDate,3*(A19-1))</f>
        <v>47777</v>
      </c>
      <c r="D19" s="23">
        <f>EDATE(ValDate,3*A19)</f>
        <v>47869</v>
      </c>
      <c r="E19" s="24">
        <f>(D19-C19)/360</f>
        <v>0.255555555555556</v>
      </c>
      <c r="F19" s="24">
        <f>(C19-ValDate)/365</f>
        <v>4.0027397260274</v>
      </c>
      <c r="G19" s="24">
        <f>(D19-ValDate)/365</f>
        <v>4.25479452054795</v>
      </c>
      <c r="H19" s="25">
        <f>B19*Notional*IF(Linear=1,1-(A19-1)/NPer,1)</f>
        <v>50000000</v>
      </c>
      <c r="I19" s="26">
        <f>(IR_DF("EURIBOR",C19,MktData,MktShift)/IR_DF("EURIBOR",D19,MktData,MktShift)-1)/E19</f>
        <v>0.0254754004979805</v>
      </c>
      <c r="J19" s="27">
        <f>IR_DF("ESTR",D19,MktData,MktShift)</f>
        <v>0.91404473382798</v>
      </c>
      <c r="K19" s="25">
        <f>H19*E19*J19</f>
        <v>11679460.487802</v>
      </c>
      <c r="L19" s="22">
        <f>IF(A19=1,0,1)</f>
        <v>1</v>
      </c>
      <c r="M19" s="26">
        <f>CapVolBp/10000*SQRT(F19)</f>
        <v>0.0158056840991001</v>
      </c>
      <c r="N19" s="24">
        <f>IF(M19&gt;0,(I19-CapStrike)/M19,0)</f>
        <v>-0.286264072700092</v>
      </c>
      <c r="O19" s="25">
        <f>K19*IF(M19&gt;0,(I19-CapStrike)*NORMSDIST(N19)+M19*NORMDIST(N19,0,1,FALSE),MAX(I19-CapStrike,0))</f>
        <v>50220.1266364123</v>
      </c>
      <c r="P19" s="24">
        <f>IF(M19&gt;0,I19/M19,0)</f>
        <v>1.6117872746445</v>
      </c>
      <c r="Q19" s="25">
        <f>K19*IF(M19&gt;0,(0-I19)*NORMSDIST(-P19)+M19*NORMDIST(P19,0,1,FALSE),MAX(-I19,0))</f>
        <v>4172.68347067647</v>
      </c>
      <c r="R19" s="24">
        <f>IF(M19&gt;0,(I19-CollarFloor)/M19,0)</f>
        <v>0.566898537129021</v>
      </c>
      <c r="S19" s="25">
        <f>K19*IF(M19&gt;0,(CollarFloor-I19)*NORMSDIST(-R19)+M19*NORMDIST(R19,0,1,FALSE),MAX(CollarFloor-I19,0))</f>
        <v>32847.0711206842</v>
      </c>
      <c r="T19" s="25">
        <f>K19*(I19-SwapRate)</f>
        <v>33732.5789357632</v>
      </c>
      <c r="U19" s="25">
        <f>K19*(I19-FSwapRate)</f>
        <v>31639.7454218528</v>
      </c>
    </row>
    <row r="20" spans="1:21">
      <c r="A20" s="22">
        <f>ROW()-2</f>
        <v>18</v>
      </c>
      <c r="B20" s="22">
        <f>IF(A20&lt;=NPer,1,0)</f>
        <v>1</v>
      </c>
      <c r="C20" s="23">
        <f>EDATE(ValDate,3*(A20-1))</f>
        <v>47869</v>
      </c>
      <c r="D20" s="23">
        <f>EDATE(ValDate,3*A20)</f>
        <v>47959</v>
      </c>
      <c r="E20" s="24">
        <f>(D20-C20)/360</f>
        <v>0.25</v>
      </c>
      <c r="F20" s="24">
        <f>(C20-ValDate)/365</f>
        <v>4.25479452054795</v>
      </c>
      <c r="G20" s="24">
        <f>(D20-ValDate)/365</f>
        <v>4.5013698630137</v>
      </c>
      <c r="H20" s="25">
        <f>B20*Notional*IF(Linear=1,1-(A20-1)/NPer,1)</f>
        <v>50000000</v>
      </c>
      <c r="I20" s="26">
        <f>(IR_DF("EURIBOR",C20,MktData,MktShift)/IR_DF("EURIBOR",D20,MktData,MktShift)-1)/E20</f>
        <v>0.025473601715408</v>
      </c>
      <c r="J20" s="27">
        <f>IR_DF("ESTR",D20,MktData,MktShift)</f>
        <v>0.908538031558122</v>
      </c>
      <c r="K20" s="25">
        <f>H20*E20*J20</f>
        <v>11356725.3944765</v>
      </c>
      <c r="L20" s="22">
        <f>IF(A20=1,0,1)</f>
        <v>1</v>
      </c>
      <c r="M20" s="26">
        <f>CapVolBp/10000*SQRT(F20)</f>
        <v>0.0162957336476318</v>
      </c>
      <c r="N20" s="24">
        <f>IF(M20&gt;0,(I20-CapStrike)/M20,0)</f>
        <v>-0.277765848563056</v>
      </c>
      <c r="O20" s="25">
        <f>K20*IF(M20&gt;0,(I20-CapStrike)*NORMSDIST(N20)+M20*NORMDIST(N20,0,1,FALSE),MAX(I20-CapStrike,0))</f>
        <v>50958.1804435912</v>
      </c>
      <c r="P20" s="24">
        <f>IF(M20&gt;0,I20/M20,0)</f>
        <v>1.56320680407722</v>
      </c>
      <c r="Q20" s="25">
        <f>K20*IF(M20&gt;0,(0-I20)*NORMSDIST(-P20)+M20*NORMDIST(P20,0,1,FALSE),MAX(-I20,0))</f>
        <v>4688.60972471031</v>
      </c>
      <c r="R20" s="24">
        <f>IF(M20&gt;0,(I20-CollarFloor)/M20,0)</f>
        <v>0.549740232949421</v>
      </c>
      <c r="S20" s="25">
        <f>K20*IF(M20&gt;0,(CollarFloor-I20)*NORMSDIST(-R20)+M20*NORMDIST(R20,0,1,FALSE),MAX(CollarFloor-I20,0))</f>
        <v>33845.2110929974</v>
      </c>
      <c r="T20" s="25">
        <f>K20*(I20-SwapRate)</f>
        <v>32780.028232896</v>
      </c>
      <c r="U20" s="25">
        <f>K20*(I20-FSwapRate)</f>
        <v>30745.0253713631</v>
      </c>
    </row>
    <row r="21" spans="1:21">
      <c r="A21" s="22">
        <f>ROW()-2</f>
        <v>19</v>
      </c>
      <c r="B21" s="22">
        <f>IF(A21&lt;=NPer,1,0)</f>
        <v>1</v>
      </c>
      <c r="C21" s="23">
        <f>EDATE(ValDate,3*(A21-1))</f>
        <v>47959</v>
      </c>
      <c r="D21" s="23">
        <f>EDATE(ValDate,3*A21)</f>
        <v>48050</v>
      </c>
      <c r="E21" s="24">
        <f>(D21-C21)/360</f>
        <v>0.252777777777778</v>
      </c>
      <c r="F21" s="24">
        <f>(C21-ValDate)/365</f>
        <v>4.5013698630137</v>
      </c>
      <c r="G21" s="24">
        <f>(D21-ValDate)/365</f>
        <v>4.75068493150685</v>
      </c>
      <c r="H21" s="25">
        <f>B21*Notional*IF(Linear=1,1-(A21-1)/NPer,1)</f>
        <v>50000000</v>
      </c>
      <c r="I21" s="26">
        <f>(IR_DF("EURIBOR",C21,MktData,MktShift)/IR_DF("EURIBOR",D21,MktData,MktShift)-1)/E21</f>
        <v>0.0254745010855359</v>
      </c>
      <c r="J21" s="27">
        <f>IR_DF("ESTR",D21,MktData,MktShift)</f>
        <v>0.903003873291814</v>
      </c>
      <c r="K21" s="25">
        <f>H21*E21*J21</f>
        <v>11412965.6207715</v>
      </c>
      <c r="L21" s="22">
        <f>IF(A21=1,0,1)</f>
        <v>1</v>
      </c>
      <c r="M21" s="26">
        <f>CapVolBp/10000*SQRT(F21)</f>
        <v>0.0167612719065735</v>
      </c>
      <c r="N21" s="24">
        <f>IF(M21&gt;0,(I21-CapStrike)/M21,0)</f>
        <v>-0.269997345051679</v>
      </c>
      <c r="O21" s="25">
        <f>K21*IF(M21&gt;0,(I21-CapStrike)*NORMSDIST(N21)+M21*NORMDIST(N21,0,1,FALSE),MAX(I21-CapStrike,0))</f>
        <v>53256.196181933</v>
      </c>
      <c r="P21" s="24">
        <f>IF(M21&gt;0,I21/M21,0)</f>
        <v>1.51984295866862</v>
      </c>
      <c r="Q21" s="25">
        <f>K21*IF(M21&gt;0,(0-I21)*NORMSDIST(-P21)+M21*NORMDIST(P21,0,1,FALSE),MAX(-I21,0))</f>
        <v>5357.50488610855</v>
      </c>
      <c r="R21" s="24">
        <f>IF(M21&gt;0,(I21-CollarFloor)/M21,0)</f>
        <v>0.534525054637705</v>
      </c>
      <c r="S21" s="25">
        <f>K21*IF(M21&gt;0,(CollarFloor-I21)*NORMSDIST(-R21)+M21*NORMDIST(R21,0,1,FALSE),MAX(CollarFloor-I21,0))</f>
        <v>35839.824060165</v>
      </c>
      <c r="T21" s="25">
        <f>K21*(I21-SwapRate)</f>
        <v>32952.6243838404</v>
      </c>
      <c r="U21" s="25">
        <f>K21*(I21-FSwapRate)</f>
        <v>30907.543879548</v>
      </c>
    </row>
    <row r="22" spans="1:21">
      <c r="A22" s="22">
        <f>ROW()-2</f>
        <v>20</v>
      </c>
      <c r="B22" s="22">
        <f>IF(A22&lt;=NPer,1,0)</f>
        <v>1</v>
      </c>
      <c r="C22" s="23">
        <f>EDATE(ValDate,3*(A22-1))</f>
        <v>48050</v>
      </c>
      <c r="D22" s="23">
        <f>EDATE(ValDate,3*A22)</f>
        <v>48142</v>
      </c>
      <c r="E22" s="24">
        <f>(D22-C22)/360</f>
        <v>0.255555555555556</v>
      </c>
      <c r="F22" s="24">
        <f>(C22-ValDate)/365</f>
        <v>4.75068493150685</v>
      </c>
      <c r="G22" s="24">
        <f>(D22-ValDate)/365</f>
        <v>5.0027397260274</v>
      </c>
      <c r="H22" s="25">
        <f>B22*Notional*IF(Linear=1,1-(A22-1)/NPer,1)</f>
        <v>50000000</v>
      </c>
      <c r="I22" s="26">
        <f>(IR_DF("EURIBOR",C22,MktData,MktShift)/IR_DF("EURIBOR",D22,MktData,MktShift)-1)/E22</f>
        <v>0.0254754004979805</v>
      </c>
      <c r="J22" s="27">
        <f>IR_DF("ESTR",D22,MktData,MktShift)</f>
        <v>0.897443167129927</v>
      </c>
      <c r="K22" s="25">
        <f>H22*E22*J22</f>
        <v>11467329.3577713</v>
      </c>
      <c r="L22" s="22">
        <f>IF(A22=1,0,1)</f>
        <v>1</v>
      </c>
      <c r="M22" s="26">
        <f>CapVolBp/10000*SQRT(F22)</f>
        <v>0.0172191907175936</v>
      </c>
      <c r="N22" s="24">
        <f>IF(M22&gt;0,(I22-CapStrike)/M22,0)</f>
        <v>-0.262764933394721</v>
      </c>
      <c r="O22" s="25">
        <f>K22*IF(M22&gt;0,(I22-CapStrike)*NORMSDIST(N22)+M22*NORMDIST(N22,0,1,FALSE),MAX(I22-CapStrike,0))</f>
        <v>55535.8260198839</v>
      </c>
      <c r="P22" s="24">
        <f>IF(M22&gt;0,I22/M22,0)</f>
        <v>1.4794772249053</v>
      </c>
      <c r="Q22" s="25">
        <f>K22*IF(M22&gt;0,(0-I22)*NORMSDIST(-P22)+M22*NORMDIST(P22,0,1,FALSE),MAX(-I22,0))</f>
        <v>6063.03473211112</v>
      </c>
      <c r="R22" s="24">
        <f>IF(M22&gt;0,(I22-CollarFloor)/M22,0)</f>
        <v>0.52036238758586</v>
      </c>
      <c r="S22" s="25">
        <f>K22*IF(M22&gt;0,(CollarFloor-I22)*NORMSDIST(-R22)+M22*NORMDIST(R22,0,1,FALSE),MAX(CollarFloor-I22,0))</f>
        <v>37830.3586106626</v>
      </c>
      <c r="T22" s="25">
        <f>K22*(I22-SwapRate)</f>
        <v>33119.9025115426</v>
      </c>
      <c r="U22" s="25">
        <f>K22*(I22-FSwapRate)</f>
        <v>31065.0806111597</v>
      </c>
    </row>
    <row r="23" spans="1:21">
      <c r="A23" s="22">
        <f>ROW()-2</f>
        <v>21</v>
      </c>
      <c r="B23" s="22">
        <f>IF(A23&lt;=NPer,1,0)</f>
        <v>0</v>
      </c>
      <c r="C23" s="23">
        <f>EDATE(ValDate,3*(A23-1))</f>
        <v>48142</v>
      </c>
      <c r="D23" s="23">
        <f>EDATE(ValDate,3*A23)</f>
        <v>48234</v>
      </c>
      <c r="E23" s="24">
        <f>(D23-C23)/360</f>
        <v>0.255555555555556</v>
      </c>
      <c r="F23" s="24">
        <f>(C23-ValDate)/365</f>
        <v>5.0027397260274</v>
      </c>
      <c r="G23" s="24">
        <f>(D23-ValDate)/365</f>
        <v>5.25479452054795</v>
      </c>
      <c r="H23" s="25">
        <f>B23*Notional*IF(Linear=1,1-(A23-1)/NPer,1)</f>
        <v>0</v>
      </c>
      <c r="I23" s="26">
        <f>(IR_DF("EURIBOR",C23,MktData,MktShift)/IR_DF("EURIBOR",D23,MktData,MktShift)-1)/E23</f>
        <v>0.0268487769808275</v>
      </c>
      <c r="J23" s="27">
        <f>IR_DF("ESTR",D23,MktData,MktShift)</f>
        <v>0.891586581630572</v>
      </c>
      <c r="K23" s="25">
        <f>H23*E23*J23</f>
        <v>0</v>
      </c>
      <c r="L23" s="22">
        <f>IF(A23=1,0,1)</f>
        <v>1</v>
      </c>
      <c r="M23" s="26">
        <f>CapVolBp/10000*SQRT(F23)</f>
        <v>0.0176700824628204</v>
      </c>
      <c r="N23" s="24">
        <f>IF(M23&gt;0,(I23-CapStrike)/M23,0)</f>
        <v>-0.178336633448258</v>
      </c>
      <c r="O23" s="25">
        <f>K23*IF(M23&gt;0,(I23-CapStrike)*NORMSDIST(N23)+M23*NORMDIST(N23,0,1,FALSE),MAX(I23-CapStrike,0))</f>
        <v>0</v>
      </c>
      <c r="P23" s="24">
        <f>IF(M23&gt;0,I23/M23,0)</f>
        <v>1.51944831255428</v>
      </c>
      <c r="Q23" s="25">
        <f>K23*IF(M23&gt;0,(0-I23)*NORMSDIST(-P23)+M23*NORMDIST(P23,0,1,FALSE),MAX(-I23,0))</f>
        <v>0</v>
      </c>
      <c r="R23" s="24">
        <f>IF(M23&gt;0,(I23-CollarFloor)/M23,0)</f>
        <v>0.584807439280104</v>
      </c>
      <c r="S23" s="25">
        <f>K23*IF(M23&gt;0,(CollarFloor-I23)*NORMSDIST(-R23)+M23*NORMDIST(R23,0,1,FALSE),MAX(CollarFloor-I23,0))</f>
        <v>0</v>
      </c>
      <c r="T23" s="25">
        <f>K23*(I23-SwapRate)</f>
        <v>0</v>
      </c>
      <c r="U23" s="25">
        <f>K23*(I23-FSwapRate)</f>
        <v>0</v>
      </c>
    </row>
    <row r="24" spans="1:21">
      <c r="A24" s="22">
        <f>ROW()-2</f>
        <v>22</v>
      </c>
      <c r="B24" s="22">
        <f>IF(A24&lt;=NPer,1,0)</f>
        <v>0</v>
      </c>
      <c r="C24" s="23">
        <f>EDATE(ValDate,3*(A24-1))</f>
        <v>48234</v>
      </c>
      <c r="D24" s="23">
        <f>EDATE(ValDate,3*A24)</f>
        <v>48325</v>
      </c>
      <c r="E24" s="24">
        <f>(D24-C24)/360</f>
        <v>0.252777777777778</v>
      </c>
      <c r="F24" s="24">
        <f>(C24-ValDate)/365</f>
        <v>5.25479452054795</v>
      </c>
      <c r="G24" s="24">
        <f>(D24-ValDate)/365</f>
        <v>5.5041095890411</v>
      </c>
      <c r="H24" s="25">
        <f>B24*Notional*IF(Linear=1,1-(A24-1)/NPer,1)</f>
        <v>0</v>
      </c>
      <c r="I24" s="26">
        <f>(IR_DF("EURIBOR",C24,MktData,MktShift)/IR_DF("EURIBOR",D24,MktData,MktShift)-1)/E24</f>
        <v>0.0268477780975705</v>
      </c>
      <c r="J24" s="27">
        <f>IR_DF("ESTR",D24,MktData,MktShift)</f>
        <v>0.885831253915405</v>
      </c>
      <c r="K24" s="25">
        <f>H24*E24*J24</f>
        <v>0</v>
      </c>
      <c r="L24" s="22">
        <f>IF(A24=1,0,1)</f>
        <v>1</v>
      </c>
      <c r="M24" s="26">
        <f>CapVolBp/10000*SQRT(F24)</f>
        <v>0.0181097515034548</v>
      </c>
      <c r="N24" s="24">
        <f>IF(M24&gt;0,(I24-CapStrike)/M24,0)</f>
        <v>-0.174062129004264</v>
      </c>
      <c r="O24" s="25">
        <f>K24*IF(M24&gt;0,(I24-CapStrike)*NORMSDIST(N24)+M24*NORMDIST(N24,0,1,FALSE),MAX(I24-CapStrike,0))</f>
        <v>0</v>
      </c>
      <c r="P24" s="24">
        <f>IF(M24&gt;0,I24/M24,0)</f>
        <v>1.4825039478012</v>
      </c>
      <c r="Q24" s="25">
        <f>K24*IF(M24&gt;0,(0-I24)*NORMSDIST(-P24)+M24*NORMDIST(P24,0,1,FALSE),MAX(-I24,0))</f>
        <v>0</v>
      </c>
      <c r="R24" s="24">
        <f>IF(M24&gt;0,(I24-CollarFloor)/M24,0)</f>
        <v>0.570554311124705</v>
      </c>
      <c r="S24" s="25">
        <f>K24*IF(M24&gt;0,(CollarFloor-I24)*NORMSDIST(-R24)+M24*NORMDIST(R24,0,1,FALSE),MAX(CollarFloor-I24,0))</f>
        <v>0</v>
      </c>
      <c r="T24" s="25">
        <f>K24*(I24-SwapRate)</f>
        <v>0</v>
      </c>
      <c r="U24" s="25">
        <f>K24*(I24-FSwapRate)</f>
        <v>0</v>
      </c>
    </row>
    <row r="25" spans="1:21">
      <c r="A25" s="22">
        <f>ROW()-2</f>
        <v>23</v>
      </c>
      <c r="B25" s="22">
        <f>IF(A25&lt;=NPer,1,0)</f>
        <v>0</v>
      </c>
      <c r="C25" s="23">
        <f>EDATE(ValDate,3*(A25-1))</f>
        <v>48325</v>
      </c>
      <c r="D25" s="23">
        <f>EDATE(ValDate,3*A25)</f>
        <v>48416</v>
      </c>
      <c r="E25" s="24">
        <f>(D25-C25)/360</f>
        <v>0.252777777777778</v>
      </c>
      <c r="F25" s="24">
        <f>(C25-ValDate)/365</f>
        <v>5.5041095890411</v>
      </c>
      <c r="G25" s="24">
        <f>(D25-ValDate)/365</f>
        <v>5.75342465753425</v>
      </c>
      <c r="H25" s="25">
        <f>B25*Notional*IF(Linear=1,1-(A25-1)/NPer,1)</f>
        <v>0</v>
      </c>
      <c r="I25" s="26">
        <f>(IR_DF("EURIBOR",C25,MktData,MktShift)/IR_DF("EURIBOR",D25,MktData,MktShift)-1)/E25</f>
        <v>0.0268477780975705</v>
      </c>
      <c r="J25" s="27">
        <f>IR_DF("ESTR",D25,MktData,MktShift)</f>
        <v>0.880113077720676</v>
      </c>
      <c r="K25" s="25">
        <f>H25*E25*J25</f>
        <v>0</v>
      </c>
      <c r="L25" s="22">
        <f>IF(A25=1,0,1)</f>
        <v>1</v>
      </c>
      <c r="M25" s="26">
        <f>CapVolBp/10000*SQRT(F25)</f>
        <v>0.0185343840620523</v>
      </c>
      <c r="N25" s="24">
        <f>IF(M25&gt;0,(I25-CapStrike)/M25,0)</f>
        <v>-0.170074273408602</v>
      </c>
      <c r="O25" s="25">
        <f>K25*IF(M25&gt;0,(I25-CapStrike)*NORMSDIST(N25)+M25*NORMDIST(N25,0,1,FALSE),MAX(I25-CapStrike,0))</f>
        <v>0</v>
      </c>
      <c r="P25" s="24">
        <f>IF(M25&gt;0,I25/M25,0)</f>
        <v>1.44853899690895</v>
      </c>
      <c r="Q25" s="25">
        <f>K25*IF(M25&gt;0,(0-I25)*NORMSDIST(-P25)+M25*NORMDIST(P25,0,1,FALSE),MAX(-I25,0))</f>
        <v>0</v>
      </c>
      <c r="R25" s="24">
        <f>IF(M25&gt;0,(I25-CollarFloor)/M25,0)</f>
        <v>0.557482609570419</v>
      </c>
      <c r="S25" s="25">
        <f>K25*IF(M25&gt;0,(CollarFloor-I25)*NORMSDIST(-R25)+M25*NORMDIST(R25,0,1,FALSE),MAX(CollarFloor-I25,0))</f>
        <v>0</v>
      </c>
      <c r="T25" s="25">
        <f>K25*(I25-SwapRate)</f>
        <v>0</v>
      </c>
      <c r="U25" s="25">
        <f>K25*(I25-FSwapRate)</f>
        <v>0</v>
      </c>
    </row>
    <row r="26" spans="1:21">
      <c r="A26" s="22">
        <f>ROW()-2</f>
        <v>24</v>
      </c>
      <c r="B26" s="22">
        <f>IF(A26&lt;=NPer,1,0)</f>
        <v>0</v>
      </c>
      <c r="C26" s="23">
        <f>EDATE(ValDate,3*(A26-1))</f>
        <v>48416</v>
      </c>
      <c r="D26" s="23">
        <f>EDATE(ValDate,3*A26)</f>
        <v>48508</v>
      </c>
      <c r="E26" s="24">
        <f>(D26-C26)/360</f>
        <v>0.255555555555556</v>
      </c>
      <c r="F26" s="24">
        <f>(C26-ValDate)/365</f>
        <v>5.75342465753425</v>
      </c>
      <c r="G26" s="24">
        <f>(D26-ValDate)/365</f>
        <v>6.0054794520548</v>
      </c>
      <c r="H26" s="25">
        <f>B26*Notional*IF(Linear=1,1-(A26-1)/NPer,1)</f>
        <v>0</v>
      </c>
      <c r="I26" s="26">
        <f>(IR_DF("EURIBOR",C26,MktData,MktShift)/IR_DF("EURIBOR",D26,MktData,MktShift)-1)/E26</f>
        <v>0.0268487769808266</v>
      </c>
      <c r="J26" s="27">
        <f>IR_DF("ESTR",D26,MktData,MktShift)</f>
        <v>0.874369585901293</v>
      </c>
      <c r="K26" s="25">
        <f>H26*E26*J26</f>
        <v>0</v>
      </c>
      <c r="L26" s="22">
        <f>IF(A26=1,0,1)</f>
        <v>1</v>
      </c>
      <c r="M26" s="26">
        <f>CapVolBp/10000*SQRT(F26)</f>
        <v>0.0189495035713981</v>
      </c>
      <c r="N26" s="24">
        <f>IF(M26&gt;0,(I26-CapStrike)/M26,0)</f>
        <v>-0.166295808610509</v>
      </c>
      <c r="O26" s="25">
        <f>K26*IF(M26&gt;0,(I26-CapStrike)*NORMSDIST(N26)+M26*NORMDIST(N26,0,1,FALSE),MAX(I26-CapStrike,0))</f>
        <v>0</v>
      </c>
      <c r="P26" s="24">
        <f>IF(M26&gt;0,I26/M26,0)</f>
        <v>1.41685912138361</v>
      </c>
      <c r="Q26" s="25">
        <f>K26*IF(M26&gt;0,(0-I26)*NORMSDIST(-P26)+M26*NORMDIST(P26,0,1,FALSE),MAX(-I26,0))</f>
        <v>0</v>
      </c>
      <c r="R26" s="24">
        <f>IF(M26&gt;0,(I26-CollarFloor)/M26,0)</f>
        <v>0.545322764684279</v>
      </c>
      <c r="S26" s="25">
        <f>K26*IF(M26&gt;0,(CollarFloor-I26)*NORMSDIST(-R26)+M26*NORMDIST(R26,0,1,FALSE),MAX(CollarFloor-I26,0))</f>
        <v>0</v>
      </c>
      <c r="T26" s="25">
        <f>K26*(I26-SwapRate)</f>
        <v>0</v>
      </c>
      <c r="U26" s="25">
        <f>K26*(I26-FSwapRate)</f>
        <v>0</v>
      </c>
    </row>
    <row r="27" spans="1:21">
      <c r="A27" s="22">
        <f>ROW()-2</f>
        <v>25</v>
      </c>
      <c r="B27" s="22">
        <f>IF(A27&lt;=NPer,1,0)</f>
        <v>0</v>
      </c>
      <c r="C27" s="23">
        <f>EDATE(ValDate,3*(A27-1))</f>
        <v>48508</v>
      </c>
      <c r="D27" s="23">
        <f>EDATE(ValDate,3*A27)</f>
        <v>48600</v>
      </c>
      <c r="E27" s="24">
        <f>(D27-C27)/360</f>
        <v>0.255555555555556</v>
      </c>
      <c r="F27" s="24">
        <f>(C27-ValDate)/365</f>
        <v>6.0054794520548</v>
      </c>
      <c r="G27" s="24">
        <f>(D27-ValDate)/365</f>
        <v>6.25753424657534</v>
      </c>
      <c r="H27" s="25">
        <f>B27*Notional*IF(Linear=1,1-(A27-1)/NPer,1)</f>
        <v>0</v>
      </c>
      <c r="I27" s="26">
        <f>(IR_DF("EURIBOR",C27,MktData,MktShift)/IR_DF("EURIBOR",D27,MktData,MktShift)-1)/E27</f>
        <v>0.0283960841449043</v>
      </c>
      <c r="J27" s="27">
        <f>IR_DF("ESTR",D27,MktData,MktShift)</f>
        <v>0.868331288686358</v>
      </c>
      <c r="K27" s="25">
        <f>H27*E27*J27</f>
        <v>0</v>
      </c>
      <c r="L27" s="22">
        <f>IF(A27=1,0,1)</f>
        <v>1</v>
      </c>
      <c r="M27" s="26">
        <f>CapVolBp/10000*SQRT(F27)</f>
        <v>0.0193601387101549</v>
      </c>
      <c r="N27" s="24">
        <f>IF(M27&gt;0,(I27-CapStrike)/M27,0)</f>
        <v>-0.0828462997661486</v>
      </c>
      <c r="O27" s="25">
        <f>K27*IF(M27&gt;0,(I27-CapStrike)*NORMSDIST(N27)+M27*NORMDIST(N27,0,1,FALSE),MAX(I27-CapStrike,0))</f>
        <v>0</v>
      </c>
      <c r="P27" s="24">
        <f>IF(M27&gt;0,I27/M27,0)</f>
        <v>1.46672937472342</v>
      </c>
      <c r="Q27" s="25">
        <f>K27*IF(M27&gt;0,(0-I27)*NORMSDIST(-P27)+M27*NORMDIST(P27,0,1,FALSE),MAX(-I27,0))</f>
        <v>0</v>
      </c>
      <c r="R27" s="24">
        <f>IF(M27&gt;0,(I27-CollarFloor)/M27,0)</f>
        <v>0.61367860111432</v>
      </c>
      <c r="S27" s="25">
        <f>K27*IF(M27&gt;0,(CollarFloor-I27)*NORMSDIST(-R27)+M27*NORMDIST(R27,0,1,FALSE),MAX(CollarFloor-I27,0))</f>
        <v>0</v>
      </c>
      <c r="T27" s="25">
        <f>K27*(I27-SwapRate)</f>
        <v>0</v>
      </c>
      <c r="U27" s="25">
        <f>K27*(I27-FSwapRate)</f>
        <v>0</v>
      </c>
    </row>
    <row r="28" spans="1:21">
      <c r="A28" s="22">
        <f>ROW()-2</f>
        <v>26</v>
      </c>
      <c r="B28" s="22">
        <f>IF(A28&lt;=NPer,1,0)</f>
        <v>0</v>
      </c>
      <c r="C28" s="23">
        <f>EDATE(ValDate,3*(A28-1))</f>
        <v>48600</v>
      </c>
      <c r="D28" s="23">
        <f>EDATE(ValDate,3*A28)</f>
        <v>48690</v>
      </c>
      <c r="E28" s="24">
        <f>(D28-C28)/360</f>
        <v>0.25</v>
      </c>
      <c r="F28" s="24">
        <f>(C28-ValDate)/365</f>
        <v>6.25753424657534</v>
      </c>
      <c r="G28" s="24">
        <f>(D28-ValDate)/365</f>
        <v>6.5041095890411</v>
      </c>
      <c r="H28" s="25">
        <f>B28*Notional*IF(Linear=1,1-(A28-1)/NPer,1)</f>
        <v>0</v>
      </c>
      <c r="I28" s="26">
        <f>(IR_DF("EURIBOR",C28,MktData,MktShift)/IR_DF("EURIBOR",D28,MktData,MktShift)-1)/E28</f>
        <v>0.0283938498337921</v>
      </c>
      <c r="J28" s="27">
        <f>IR_DF("ESTR",D28,MktData,MktShift)</f>
        <v>0.862464610698346</v>
      </c>
      <c r="K28" s="25">
        <f>H28*E28*J28</f>
        <v>0</v>
      </c>
      <c r="L28" s="22">
        <f>IF(A28=1,0,1)</f>
        <v>1</v>
      </c>
      <c r="M28" s="26">
        <f>CapVolBp/10000*SQRT(F28)</f>
        <v>0.0197622431963189</v>
      </c>
      <c r="N28" s="24">
        <f>IF(M28&gt;0,(I28-CapStrike)/M28,0)</f>
        <v>-0.0812736767912593</v>
      </c>
      <c r="O28" s="25">
        <f>K28*IF(M28&gt;0,(I28-CapStrike)*NORMSDIST(N28)+M28*NORMDIST(N28,0,1,FALSE),MAX(I28-CapStrike,0))</f>
        <v>0</v>
      </c>
      <c r="P28" s="24">
        <f>IF(M28&gt;0,I28/M28,0)</f>
        <v>1.43677261491656</v>
      </c>
      <c r="Q28" s="25">
        <f>K28*IF(M28&gt;0,(0-I28)*NORMSDIST(-P28)+M28*NORMDIST(P28,0,1,FALSE),MAX(-I28,0))</f>
        <v>0</v>
      </c>
      <c r="R28" s="24">
        <f>IF(M28&gt;0,(I28-CollarFloor)/M28,0)</f>
        <v>0.601078957075458</v>
      </c>
      <c r="S28" s="25">
        <f>K28*IF(M28&gt;0,(CollarFloor-I28)*NORMSDIST(-R28)+M28*NORMDIST(R28,0,1,FALSE),MAX(CollarFloor-I28,0))</f>
        <v>0</v>
      </c>
      <c r="T28" s="25">
        <f>K28*(I28-SwapRate)</f>
        <v>0</v>
      </c>
      <c r="U28" s="25">
        <f>K28*(I28-FSwapRate)</f>
        <v>0</v>
      </c>
    </row>
    <row r="29" spans="1:21">
      <c r="A29" s="22">
        <f>ROW()-2</f>
        <v>27</v>
      </c>
      <c r="B29" s="22">
        <f>IF(A29&lt;=NPer,1,0)</f>
        <v>0</v>
      </c>
      <c r="C29" s="23">
        <f>EDATE(ValDate,3*(A29-1))</f>
        <v>48690</v>
      </c>
      <c r="D29" s="23">
        <f>EDATE(ValDate,3*A29)</f>
        <v>48781</v>
      </c>
      <c r="E29" s="24">
        <f>(D29-C29)/360</f>
        <v>0.252777777777778</v>
      </c>
      <c r="F29" s="24">
        <f>(C29-ValDate)/365</f>
        <v>6.5041095890411</v>
      </c>
      <c r="G29" s="24">
        <f>(D29-ValDate)/365</f>
        <v>6.75342465753425</v>
      </c>
      <c r="H29" s="25">
        <f>B29*Notional*IF(Linear=1,1-(A29-1)/NPer,1)</f>
        <v>0</v>
      </c>
      <c r="I29" s="26">
        <f>(IR_DF("EURIBOR",C29,MktData,MktShift)/IR_DF("EURIBOR",D29,MktData,MktShift)-1)/E29</f>
        <v>0.0283949669600642</v>
      </c>
      <c r="J29" s="27">
        <f>IR_DF("ESTR",D29,MktData,MktShift)</f>
        <v>0.856573046292597</v>
      </c>
      <c r="K29" s="25">
        <f>H29*E29*J29</f>
        <v>0</v>
      </c>
      <c r="L29" s="22">
        <f>IF(A29=1,0,1)</f>
        <v>1</v>
      </c>
      <c r="M29" s="26">
        <f>CapVolBp/10000*SQRT(F29)</f>
        <v>0.0201478424890107</v>
      </c>
      <c r="N29" s="24">
        <f>IF(M29&gt;0,(I29-CapStrike)/M29,0)</f>
        <v>-0.0796627748510144</v>
      </c>
      <c r="O29" s="25">
        <f>K29*IF(M29&gt;0,(I29-CapStrike)*NORMSDIST(N29)+M29*NORMDIST(N29,0,1,FALSE),MAX(I29-CapStrike,0))</f>
        <v>0</v>
      </c>
      <c r="P29" s="24">
        <f>IF(M29&gt;0,I29/M29,0)</f>
        <v>1.40933040227766</v>
      </c>
      <c r="Q29" s="25">
        <f>K29*IF(M29&gt;0,(0-I29)*NORMSDIST(-P29)+M29*NORMDIST(P29,0,1,FALSE),MAX(-I29,0))</f>
        <v>0</v>
      </c>
      <c r="R29" s="24">
        <f>IF(M29&gt;0,(I29-CollarFloor)/M29,0)</f>
        <v>0.589630659593784</v>
      </c>
      <c r="S29" s="25">
        <f>K29*IF(M29&gt;0,(CollarFloor-I29)*NORMSDIST(-R29)+M29*NORMDIST(R29,0,1,FALSE),MAX(CollarFloor-I29,0))</f>
        <v>0</v>
      </c>
      <c r="T29" s="25">
        <f>K29*(I29-SwapRate)</f>
        <v>0</v>
      </c>
      <c r="U29" s="25">
        <f>K29*(I29-FSwapRate)</f>
        <v>0</v>
      </c>
    </row>
    <row r="30" spans="1:21">
      <c r="A30" s="22">
        <f>ROW()-2</f>
        <v>28</v>
      </c>
      <c r="B30" s="22">
        <f>IF(A30&lt;=NPer,1,0)</f>
        <v>0</v>
      </c>
      <c r="C30" s="23">
        <f>EDATE(ValDate,3*(A30-1))</f>
        <v>48781</v>
      </c>
      <c r="D30" s="23">
        <f>EDATE(ValDate,3*A30)</f>
        <v>48873</v>
      </c>
      <c r="E30" s="24">
        <f>(D30-C30)/360</f>
        <v>0.255555555555556</v>
      </c>
      <c r="F30" s="24">
        <f>(C30-ValDate)/365</f>
        <v>6.75342465753425</v>
      </c>
      <c r="G30" s="24">
        <f>(D30-ValDate)/365</f>
        <v>7.0054794520548</v>
      </c>
      <c r="H30" s="25">
        <f>B30*Notional*IF(Linear=1,1-(A30-1)/NPer,1)</f>
        <v>0</v>
      </c>
      <c r="I30" s="26">
        <f>(IR_DF("EURIBOR",C30,MktData,MktShift)/IR_DF("EURIBOR",D30,MktData,MktShift)-1)/E30</f>
        <v>0.0283960841449043</v>
      </c>
      <c r="J30" s="27">
        <f>IR_DF("ESTR",D30,MktData,MktShift)</f>
        <v>0.850657649962239</v>
      </c>
      <c r="K30" s="25">
        <f>H30*E30*J30</f>
        <v>0</v>
      </c>
      <c r="L30" s="22">
        <f>IF(A30=1,0,1)</f>
        <v>1</v>
      </c>
      <c r="M30" s="26">
        <f>CapVolBp/10000*SQRT(F30)</f>
        <v>0.0205303640982023</v>
      </c>
      <c r="N30" s="24">
        <f>IF(M30&gt;0,(I30-CapStrike)/M30,0)</f>
        <v>-0.0781240823311144</v>
      </c>
      <c r="O30" s="25">
        <f>K30*IF(M30&gt;0,(I30-CapStrike)*NORMSDIST(N30)+M30*NORMDIST(N30,0,1,FALSE),MAX(I30-CapStrike,0))</f>
        <v>0</v>
      </c>
      <c r="P30" s="24">
        <f>IF(M30&gt;0,I30/M30,0)</f>
        <v>1.38312618368959</v>
      </c>
      <c r="Q30" s="25">
        <f>K30*IF(M30&gt;0,(0-I30)*NORMSDIST(-P30)+M30*NORMDIST(P30,0,1,FALSE),MAX(-I30,0))</f>
        <v>0</v>
      </c>
      <c r="R30" s="24">
        <f>IF(M30&gt;0,(I30-CollarFloor)/M30,0)</f>
        <v>0.578699081233897</v>
      </c>
      <c r="S30" s="25">
        <f>K30*IF(M30&gt;0,(CollarFloor-I30)*NORMSDIST(-R30)+M30*NORMDIST(R30,0,1,FALSE),MAX(CollarFloor-I30,0))</f>
        <v>0</v>
      </c>
      <c r="T30" s="25">
        <f>K30*(I30-SwapRate)</f>
        <v>0</v>
      </c>
      <c r="U30" s="25">
        <f>K30*(I30-FSwapRate)</f>
        <v>0</v>
      </c>
    </row>
    <row r="31" spans="1:21">
      <c r="A31" s="22">
        <f>ROW()-2</f>
        <v>29</v>
      </c>
      <c r="B31" s="22">
        <f>IF(A31&lt;=NPer,1,0)</f>
        <v>0</v>
      </c>
      <c r="C31" s="23">
        <f>EDATE(ValDate,3*(A31-1))</f>
        <v>48873</v>
      </c>
      <c r="D31" s="23">
        <f>EDATE(ValDate,3*A31)</f>
        <v>48965</v>
      </c>
      <c r="E31" s="24">
        <f>(D31-C31)/360</f>
        <v>0.255555555555556</v>
      </c>
      <c r="F31" s="24">
        <f>(C31-ValDate)/365</f>
        <v>7.0054794520548</v>
      </c>
      <c r="G31" s="24">
        <f>(D31-ValDate)/365</f>
        <v>7.25753424657534</v>
      </c>
      <c r="H31" s="25">
        <f>B31*Notional*IF(Linear=1,1-(A31-1)/NPer,1)</f>
        <v>0</v>
      </c>
      <c r="I31" s="26">
        <f>(IR_DF("EURIBOR",C31,MktData,MktShift)/IR_DF("EURIBOR",D31,MktData,MktShift)-1)/E31</f>
        <v>0.0290466897761659</v>
      </c>
      <c r="J31" s="27">
        <f>IR_DF("ESTR",D31,MktData,MktShift)</f>
        <v>0.844641721914224</v>
      </c>
      <c r="K31" s="25">
        <f>H31*E31*J31</f>
        <v>0</v>
      </c>
      <c r="L31" s="22">
        <f>IF(A31=1,0,1)</f>
        <v>1</v>
      </c>
      <c r="M31" s="26">
        <f>CapVolBp/10000*SQRT(F31)</f>
        <v>0.0209099769315695</v>
      </c>
      <c r="N31" s="24">
        <f>IF(M31&gt;0,(I31-CapStrike)/M31,0)</f>
        <v>-0.0455911657365269</v>
      </c>
      <c r="O31" s="25">
        <f>K31*IF(M31&gt;0,(I31-CapStrike)*NORMSDIST(N31)+M31*NORMDIST(N31,0,1,FALSE),MAX(I31-CapStrike,0))</f>
        <v>0</v>
      </c>
      <c r="P31" s="24">
        <f>IF(M31&gt;0,I31/M31,0)</f>
        <v>1.38913064663939</v>
      </c>
      <c r="Q31" s="25">
        <f>K31*IF(M31&gt;0,(0-I31)*NORMSDIST(-P31)+M31*NORMDIST(P31,0,1,FALSE),MAX(-I31,0))</f>
        <v>0</v>
      </c>
      <c r="R31" s="24">
        <f>IF(M31&gt;0,(I31-CollarFloor)/M31,0)</f>
        <v>0.599307618238872</v>
      </c>
      <c r="S31" s="25">
        <f>K31*IF(M31&gt;0,(CollarFloor-I31)*NORMSDIST(-R31)+M31*NORMDIST(R31,0,1,FALSE),MAX(CollarFloor-I31,0))</f>
        <v>0</v>
      </c>
      <c r="T31" s="25">
        <f>K31*(I31-SwapRate)</f>
        <v>0</v>
      </c>
      <c r="U31" s="25">
        <f>K31*(I31-FSwapRate)</f>
        <v>0</v>
      </c>
    </row>
    <row r="32" spans="1:21">
      <c r="A32" s="22">
        <f>ROW()-2</f>
        <v>30</v>
      </c>
      <c r="B32" s="22">
        <f>IF(A32&lt;=NPer,1,0)</f>
        <v>0</v>
      </c>
      <c r="C32" s="23">
        <f>EDATE(ValDate,3*(A32-1))</f>
        <v>48965</v>
      </c>
      <c r="D32" s="23">
        <f>EDATE(ValDate,3*A32)</f>
        <v>49055</v>
      </c>
      <c r="E32" s="24">
        <f>(D32-C32)/360</f>
        <v>0.25</v>
      </c>
      <c r="F32" s="24">
        <f>(C32-ValDate)/365</f>
        <v>7.25753424657534</v>
      </c>
      <c r="G32" s="24">
        <f>(D32-ValDate)/365</f>
        <v>7.5041095890411</v>
      </c>
      <c r="H32" s="25">
        <f>B32*Notional*IF(Linear=1,1-(A32-1)/NPer,1)</f>
        <v>0</v>
      </c>
      <c r="I32" s="26">
        <f>(IR_DF("EURIBOR",C32,MktData,MktShift)/IR_DF("EURIBOR",D32,MktData,MktShift)-1)/E32</f>
        <v>0.029044352039671</v>
      </c>
      <c r="J32" s="27">
        <f>IR_DF("ESTR",D32,MktData,MktShift)</f>
        <v>0.838797744923135</v>
      </c>
      <c r="K32" s="25">
        <f>H32*E32*J32</f>
        <v>0</v>
      </c>
      <c r="L32" s="22">
        <f>IF(A32=1,0,1)</f>
        <v>1</v>
      </c>
      <c r="M32" s="26">
        <f>CapVolBp/10000*SQRT(F32)</f>
        <v>0.0212828198449542</v>
      </c>
      <c r="N32" s="24">
        <f>IF(M32&gt;0,(I32-CapStrike)/M32,0)</f>
        <v>-0.0449023187383473</v>
      </c>
      <c r="O32" s="25">
        <f>K32*IF(M32&gt;0,(I32-CapStrike)*NORMSDIST(N32)+M32*NORMDIST(N32,0,1,FALSE),MAX(I32-CapStrike,0))</f>
        <v>0</v>
      </c>
      <c r="P32" s="24">
        <f>IF(M32&gt;0,I32/M32,0)</f>
        <v>1.36468533076255</v>
      </c>
      <c r="Q32" s="25">
        <f>K32*IF(M32&gt;0,(0-I32)*NORMSDIST(-P32)+M32*NORMDIST(P32,0,1,FALSE),MAX(-I32,0))</f>
        <v>0</v>
      </c>
      <c r="R32" s="24">
        <f>IF(M32&gt;0,(I32-CollarFloor)/M32,0)</f>
        <v>0.5886988109221</v>
      </c>
      <c r="S32" s="25">
        <f>K32*IF(M32&gt;0,(CollarFloor-I32)*NORMSDIST(-R32)+M32*NORMDIST(R32,0,1,FALSE),MAX(CollarFloor-I32,0))</f>
        <v>0</v>
      </c>
      <c r="T32" s="25">
        <f>K32*(I32-SwapRate)</f>
        <v>0</v>
      </c>
      <c r="U32" s="25">
        <f>K32*(I32-FSwapRate)</f>
        <v>0</v>
      </c>
    </row>
    <row r="33" spans="1:21">
      <c r="A33" s="22">
        <f>ROW()-2</f>
        <v>31</v>
      </c>
      <c r="B33" s="22">
        <f>IF(A33&lt;=NPer,1,0)</f>
        <v>0</v>
      </c>
      <c r="C33" s="23">
        <f>EDATE(ValDate,3*(A33-1))</f>
        <v>49055</v>
      </c>
      <c r="D33" s="23">
        <f>EDATE(ValDate,3*A33)</f>
        <v>49146</v>
      </c>
      <c r="E33" s="24">
        <f>(D33-C33)/360</f>
        <v>0.252777777777778</v>
      </c>
      <c r="F33" s="24">
        <f>(C33-ValDate)/365</f>
        <v>7.5041095890411</v>
      </c>
      <c r="G33" s="24">
        <f>(D33-ValDate)/365</f>
        <v>7.75342465753425</v>
      </c>
      <c r="H33" s="25">
        <f>B33*Notional*IF(Linear=1,1-(A33-1)/NPer,1)</f>
        <v>0</v>
      </c>
      <c r="I33" s="26">
        <f>(IR_DF("EURIBOR",C33,MktData,MktShift)/IR_DF("EURIBOR",D33,MktData,MktShift)-1)/E33</f>
        <v>0.0290455208765787</v>
      </c>
      <c r="J33" s="27">
        <f>IR_DF("ESTR",D33,MktData,MktShift)</f>
        <v>0.832929943982785</v>
      </c>
      <c r="K33" s="25">
        <f>H33*E33*J33</f>
        <v>0</v>
      </c>
      <c r="L33" s="22">
        <f>IF(A33=1,0,1)</f>
        <v>1</v>
      </c>
      <c r="M33" s="26">
        <f>CapVolBp/10000*SQRT(F33)</f>
        <v>0.0216413428734058</v>
      </c>
      <c r="N33" s="24">
        <f>IF(M33&gt;0,(I33-CapStrike)/M33,0)</f>
        <v>-0.044104431458095</v>
      </c>
      <c r="O33" s="25">
        <f>K33*IF(M33&gt;0,(I33-CapStrike)*NORMSDIST(N33)+M33*NORMDIST(N33,0,1,FALSE),MAX(I33-CapStrike,0))</f>
        <v>0</v>
      </c>
      <c r="P33" s="24">
        <f>IF(M33&gt;0,I33/M33,0)</f>
        <v>1.34213117210354</v>
      </c>
      <c r="Q33" s="25">
        <f>K33*IF(M33&gt;0,(0-I33)*NORMSDIST(-P33)+M33*NORMDIST(P33,0,1,FALSE),MAX(-I33,0))</f>
        <v>0</v>
      </c>
      <c r="R33" s="24">
        <f>IF(M33&gt;0,(I33-CollarFloor)/M33,0)</f>
        <v>0.579000094679873</v>
      </c>
      <c r="S33" s="25">
        <f>K33*IF(M33&gt;0,(CollarFloor-I33)*NORMSDIST(-R33)+M33*NORMDIST(R33,0,1,FALSE),MAX(CollarFloor-I33,0))</f>
        <v>0</v>
      </c>
      <c r="T33" s="25">
        <f>K33*(I33-SwapRate)</f>
        <v>0</v>
      </c>
      <c r="U33" s="25">
        <f>K33*(I33-FSwapRate)</f>
        <v>0</v>
      </c>
    </row>
    <row r="34" spans="1:21">
      <c r="A34" s="22">
        <f>ROW()-2</f>
        <v>32</v>
      </c>
      <c r="B34" s="22">
        <f>IF(A34&lt;=NPer,1,0)</f>
        <v>0</v>
      </c>
      <c r="C34" s="23">
        <f>EDATE(ValDate,3*(A34-1))</f>
        <v>49146</v>
      </c>
      <c r="D34" s="23">
        <f>EDATE(ValDate,3*A34)</f>
        <v>49238</v>
      </c>
      <c r="E34" s="24">
        <f>(D34-C34)/360</f>
        <v>0.255555555555556</v>
      </c>
      <c r="F34" s="24">
        <f>(C34-ValDate)/365</f>
        <v>7.75342465753425</v>
      </c>
      <c r="G34" s="24">
        <f>(D34-ValDate)/365</f>
        <v>8.0054794520548</v>
      </c>
      <c r="H34" s="25">
        <f>B34*Notional*IF(Linear=1,1-(A34-1)/NPer,1)</f>
        <v>0</v>
      </c>
      <c r="I34" s="26">
        <f>(IR_DF("EURIBOR",C34,MktData,MktShift)/IR_DF("EURIBOR",D34,MktData,MktShift)-1)/E34</f>
        <v>0.0290466897761667</v>
      </c>
      <c r="J34" s="27">
        <f>IR_DF("ESTR",D34,MktData,MktShift)</f>
        <v>0.827039387879211</v>
      </c>
      <c r="K34" s="25">
        <f>H34*E34*J34</f>
        <v>0</v>
      </c>
      <c r="L34" s="22">
        <f>IF(A34=1,0,1)</f>
        <v>1</v>
      </c>
      <c r="M34" s="26">
        <f>CapVolBp/10000*SQRT(F34)</f>
        <v>0.0219979093190031</v>
      </c>
      <c r="N34" s="24">
        <f>IF(M34&gt;0,(I34-CapStrike)/M34,0)</f>
        <v>-0.0433364012010789</v>
      </c>
      <c r="O34" s="25">
        <f>K34*IF(M34&gt;0,(I34-CapStrike)*NORMSDIST(N34)+M34*NORMDIST(N34,0,1,FALSE),MAX(I34-CapStrike,0))</f>
        <v>0</v>
      </c>
      <c r="P34" s="24">
        <f>IF(M34&gt;0,I34/M34,0)</f>
        <v>1.32042956241639</v>
      </c>
      <c r="Q34" s="25">
        <f>K34*IF(M34&gt;0,(0-I34)*NORMSDIST(-P34)+M34*NORMDIST(P34,0,1,FALSE),MAX(-I34,0))</f>
        <v>0</v>
      </c>
      <c r="R34" s="24">
        <f>IF(M34&gt;0,(I34-CollarFloor)/M34,0)</f>
        <v>0.569668157576414</v>
      </c>
      <c r="S34" s="25">
        <f>K34*IF(M34&gt;0,(CollarFloor-I34)*NORMSDIST(-R34)+M34*NORMDIST(R34,0,1,FALSE),MAX(CollarFloor-I34,0))</f>
        <v>0</v>
      </c>
      <c r="T34" s="25">
        <f>K34*(I34-SwapRate)</f>
        <v>0</v>
      </c>
      <c r="U34" s="25">
        <f>K34*(I34-FSwapRate)</f>
        <v>0</v>
      </c>
    </row>
    <row r="35" spans="1:21">
      <c r="A35" s="22">
        <f>ROW()-2</f>
        <v>33</v>
      </c>
      <c r="B35" s="22">
        <f>IF(A35&lt;=NPer,1,0)</f>
        <v>0</v>
      </c>
      <c r="C35" s="23">
        <f>EDATE(ValDate,3*(A35-1))</f>
        <v>49238</v>
      </c>
      <c r="D35" s="23">
        <f>EDATE(ValDate,3*A35)</f>
        <v>49330</v>
      </c>
      <c r="E35" s="24">
        <f>(D35-C35)/360</f>
        <v>0.255555555555556</v>
      </c>
      <c r="F35" s="24">
        <f>(C35-ValDate)/365</f>
        <v>8.0054794520548</v>
      </c>
      <c r="G35" s="24">
        <f>(D35-ValDate)/365</f>
        <v>8.25753424657534</v>
      </c>
      <c r="H35" s="25">
        <f>B35*Notional*IF(Linear=1,1-(A35-1)/NPer,1)</f>
        <v>0</v>
      </c>
      <c r="I35" s="26">
        <f>(IR_DF("EURIBOR",C35,MktData,MktShift)/IR_DF("EURIBOR",D35,MktData,MktShift)-1)/E35</f>
        <v>0.0304306288002145</v>
      </c>
      <c r="J35" s="27">
        <f>IR_DF("ESTR",D35,MktData,MktShift)</f>
        <v>0.820775743918872</v>
      </c>
      <c r="K35" s="25">
        <f>H35*E35*J35</f>
        <v>0</v>
      </c>
      <c r="L35" s="22">
        <f>IF(A35=1,0,1)</f>
        <v>1</v>
      </c>
      <c r="M35" s="26">
        <f>CapVolBp/10000*SQRT(F35)</f>
        <v>0.0223526128155322</v>
      </c>
      <c r="N35" s="24">
        <f>IF(M35&gt;0,(I35-CapStrike)/M35,0)</f>
        <v>0.0192652556445353</v>
      </c>
      <c r="O35" s="25">
        <f>K35*IF(M35&gt;0,(I35-CapStrike)*NORMSDIST(N35)+M35*NORMDIST(N35,0,1,FALSE),MAX(I35-CapStrike,0))</f>
        <v>0</v>
      </c>
      <c r="P35" s="24">
        <f>IF(M35&gt;0,I35/M35,0)</f>
        <v>1.36139023439216</v>
      </c>
      <c r="Q35" s="25">
        <f>K35*IF(M35&gt;0,(0-I35)*NORMSDIST(-P35)+M35*NORMDIST(P35,0,1,FALSE),MAX(-I35,0))</f>
        <v>0</v>
      </c>
      <c r="R35" s="24">
        <f>IF(M35&gt;0,(I35-CollarFloor)/M35,0)</f>
        <v>0.622542322509514</v>
      </c>
      <c r="S35" s="25">
        <f>K35*IF(M35&gt;0,(CollarFloor-I35)*NORMSDIST(-R35)+M35*NORMDIST(R35,0,1,FALSE),MAX(CollarFloor-I35,0))</f>
        <v>0</v>
      </c>
      <c r="T35" s="25">
        <f>K35*(I35-SwapRate)</f>
        <v>0</v>
      </c>
      <c r="U35" s="25">
        <f>K35*(I35-FSwapRate)</f>
        <v>0</v>
      </c>
    </row>
    <row r="36" spans="1:21">
      <c r="A36" s="22">
        <f>ROW()-2</f>
        <v>34</v>
      </c>
      <c r="B36" s="22">
        <f>IF(A36&lt;=NPer,1,0)</f>
        <v>0</v>
      </c>
      <c r="C36" s="23">
        <f>EDATE(ValDate,3*(A36-1))</f>
        <v>49330</v>
      </c>
      <c r="D36" s="23">
        <f>EDATE(ValDate,3*A36)</f>
        <v>49420</v>
      </c>
      <c r="E36" s="24">
        <f>(D36-C36)/360</f>
        <v>0.25</v>
      </c>
      <c r="F36" s="24">
        <f>(C36-ValDate)/365</f>
        <v>8.25753424657534</v>
      </c>
      <c r="G36" s="24">
        <f>(D36-ValDate)/365</f>
        <v>8.5041095890411</v>
      </c>
      <c r="H36" s="25">
        <f>B36*Notional*IF(Linear=1,1-(A36-1)/NPer,1)</f>
        <v>0</v>
      </c>
      <c r="I36" s="26">
        <f>(IR_DF("EURIBOR",C36,MktData,MktShift)/IR_DF("EURIBOR",D36,MktData,MktShift)-1)/E36</f>
        <v>0.0304280632999161</v>
      </c>
      <c r="J36" s="27">
        <f>IR_DF("ESTR",D36,MktData,MktShift)</f>
        <v>0.814694171138877</v>
      </c>
      <c r="K36" s="25">
        <f>H36*E36*J36</f>
        <v>0</v>
      </c>
      <c r="L36" s="22">
        <f>IF(A36=1,0,1)</f>
        <v>1</v>
      </c>
      <c r="M36" s="26">
        <f>CapVolBp/10000*SQRT(F36)</f>
        <v>0.0227017749296196</v>
      </c>
      <c r="N36" s="24">
        <f>IF(M36&gt;0,(I36-CapStrike)/M36,0)</f>
        <v>0.0188559397334872</v>
      </c>
      <c r="O36" s="25">
        <f>K36*IF(M36&gt;0,(I36-CapStrike)*NORMSDIST(N36)+M36*NORMDIST(N36,0,1,FALSE),MAX(I36-CapStrike,0))</f>
        <v>0</v>
      </c>
      <c r="P36" s="24">
        <f>IF(M36&gt;0,I36/M36,0)</f>
        <v>1.34033851512711</v>
      </c>
      <c r="Q36" s="25">
        <f>K36*IF(M36&gt;0,(0-I36)*NORMSDIST(-P36)+M36*NORMDIST(P36,0,1,FALSE),MAX(-I36,0))</f>
        <v>0</v>
      </c>
      <c r="R36" s="24">
        <f>IF(M36&gt;0,(I36-CollarFloor)/M36,0)</f>
        <v>0.612854371042433</v>
      </c>
      <c r="S36" s="25">
        <f>K36*IF(M36&gt;0,(CollarFloor-I36)*NORMSDIST(-R36)+M36*NORMDIST(R36,0,1,FALSE),MAX(CollarFloor-I36,0))</f>
        <v>0</v>
      </c>
      <c r="T36" s="25">
        <f>K36*(I36-SwapRate)</f>
        <v>0</v>
      </c>
      <c r="U36" s="25">
        <f>K36*(I36-FSwapRate)</f>
        <v>0</v>
      </c>
    </row>
    <row r="37" spans="1:21">
      <c r="A37" s="22">
        <f>ROW()-2</f>
        <v>35</v>
      </c>
      <c r="B37" s="22">
        <f>IF(A37&lt;=NPer,1,0)</f>
        <v>0</v>
      </c>
      <c r="C37" s="23">
        <f>EDATE(ValDate,3*(A37-1))</f>
        <v>49420</v>
      </c>
      <c r="D37" s="23">
        <f>EDATE(ValDate,3*A37)</f>
        <v>49511</v>
      </c>
      <c r="E37" s="24">
        <f>(D37-C37)/360</f>
        <v>0.252777777777778</v>
      </c>
      <c r="F37" s="24">
        <f>(C37-ValDate)/365</f>
        <v>8.5041095890411</v>
      </c>
      <c r="G37" s="24">
        <f>(D37-ValDate)/365</f>
        <v>8.75342465753425</v>
      </c>
      <c r="H37" s="25">
        <f>B37*Notional*IF(Linear=1,1-(A37-1)/NPer,1)</f>
        <v>0</v>
      </c>
      <c r="I37" s="26">
        <f>(IR_DF("EURIBOR",C37,MktData,MktShift)/IR_DF("EURIBOR",D37,MktData,MktShift)-1)/E37</f>
        <v>0.0304293460140388</v>
      </c>
      <c r="J37" s="27">
        <f>IR_DF("ESTR",D37,MktData,MktShift)</f>
        <v>0.808590839549982</v>
      </c>
      <c r="K37" s="25">
        <f>H37*E37*J37</f>
        <v>0</v>
      </c>
      <c r="L37" s="22">
        <f>IF(A37=1,0,1)</f>
        <v>1</v>
      </c>
      <c r="M37" s="26">
        <f>CapVolBp/10000*SQRT(F37)</f>
        <v>0.0230382266193958</v>
      </c>
      <c r="N37" s="24">
        <f>IF(M37&gt;0,(I37-CapStrike)/M37,0)</f>
        <v>0.0186362440621763</v>
      </c>
      <c r="O37" s="25">
        <f>K37*IF(M37&gt;0,(I37-CapStrike)*NORMSDIST(N37)+M37*NORMDIST(N37,0,1,FALSE),MAX(I37-CapStrike,0))</f>
        <v>0</v>
      </c>
      <c r="P37" s="24">
        <f>IF(M37&gt;0,I37/M37,0)</f>
        <v>1.32081980600106</v>
      </c>
      <c r="Q37" s="25">
        <f>K37*IF(M37&gt;0,(0-I37)*NORMSDIST(-P37)+M37*NORMDIST(P37,0,1,FALSE),MAX(-I37,0))</f>
        <v>0</v>
      </c>
      <c r="R37" s="24">
        <f>IF(M37&gt;0,(I37-CollarFloor)/M37,0)</f>
        <v>0.603959885456083</v>
      </c>
      <c r="S37" s="25">
        <f>K37*IF(M37&gt;0,(CollarFloor-I37)*NORMSDIST(-R37)+M37*NORMDIST(R37,0,1,FALSE),MAX(CollarFloor-I37,0))</f>
        <v>0</v>
      </c>
      <c r="T37" s="25">
        <f>K37*(I37-SwapRate)</f>
        <v>0</v>
      </c>
      <c r="U37" s="25">
        <f>K37*(I37-FSwapRate)</f>
        <v>0</v>
      </c>
    </row>
    <row r="38" spans="1:21">
      <c r="A38" s="22">
        <f>ROW()-2</f>
        <v>36</v>
      </c>
      <c r="B38" s="22">
        <f>IF(A38&lt;=NPer,1,0)</f>
        <v>0</v>
      </c>
      <c r="C38" s="23">
        <f>EDATE(ValDate,3*(A38-1))</f>
        <v>49511</v>
      </c>
      <c r="D38" s="23">
        <f>EDATE(ValDate,3*A38)</f>
        <v>49603</v>
      </c>
      <c r="E38" s="24">
        <f>(D38-C38)/360</f>
        <v>0.255555555555556</v>
      </c>
      <c r="F38" s="24">
        <f>(C38-ValDate)/365</f>
        <v>8.75342465753425</v>
      </c>
      <c r="G38" s="24">
        <f>(D38-ValDate)/365</f>
        <v>9.0054794520548</v>
      </c>
      <c r="H38" s="25">
        <f>B38*Notional*IF(Linear=1,1-(A38-1)/NPer,1)</f>
        <v>0</v>
      </c>
      <c r="I38" s="26">
        <f>(IR_DF("EURIBOR",C38,MktData,MktShift)/IR_DF("EURIBOR",D38,MktData,MktShift)-1)/E38</f>
        <v>0.0304306288002145</v>
      </c>
      <c r="J38" s="27">
        <f>IR_DF("ESTR",D38,MktData,MktShift)</f>
        <v>0.80246691703461</v>
      </c>
      <c r="K38" s="25">
        <f>H38*E38*J38</f>
        <v>0</v>
      </c>
      <c r="L38" s="22">
        <f>IF(A38=1,0,1)</f>
        <v>1</v>
      </c>
      <c r="M38" s="26">
        <f>CapVolBp/10000*SQRT(F38)</f>
        <v>0.0233734930810397</v>
      </c>
      <c r="N38" s="24">
        <f>IF(M38&gt;0,(I38-CapStrike)/M38,0)</f>
        <v>0.0184238101990782</v>
      </c>
      <c r="O38" s="25">
        <f>K38*IF(M38&gt;0,(I38-CapStrike)*NORMSDIST(N38)+M38*NORMDIST(N38,0,1,FALSE),MAX(I38-CapStrike,0))</f>
        <v>0</v>
      </c>
      <c r="P38" s="24">
        <f>IF(M38&gt;0,I38/M38,0)</f>
        <v>1.30192901397778</v>
      </c>
      <c r="Q38" s="25">
        <f>K38*IF(M38&gt;0,(0-I38)*NORMSDIST(-P38)+M38*NORMDIST(P38,0,1,FALSE),MAX(-I38,0))</f>
        <v>0</v>
      </c>
      <c r="R38" s="24">
        <f>IF(M38&gt;0,(I38-CollarFloor)/M38,0)</f>
        <v>0.595351642481944</v>
      </c>
      <c r="S38" s="25">
        <f>K38*IF(M38&gt;0,(CollarFloor-I38)*NORMSDIST(-R38)+M38*NORMDIST(R38,0,1,FALSE),MAX(CollarFloor-I38,0))</f>
        <v>0</v>
      </c>
      <c r="T38" s="25">
        <f>K38*(I38-SwapRate)</f>
        <v>0</v>
      </c>
      <c r="U38" s="25">
        <f>K38*(I38-FSwapRate)</f>
        <v>0</v>
      </c>
    </row>
    <row r="39" spans="1:21">
      <c r="A39" s="22">
        <f>ROW()-2</f>
        <v>37</v>
      </c>
      <c r="B39" s="22">
        <f>IF(A39&lt;=NPer,1,0)</f>
        <v>0</v>
      </c>
      <c r="C39" s="23">
        <f>EDATE(ValDate,3*(A39-1))</f>
        <v>49603</v>
      </c>
      <c r="D39" s="23">
        <f>EDATE(ValDate,3*A39)</f>
        <v>49695</v>
      </c>
      <c r="E39" s="24">
        <f>(D39-C39)/360</f>
        <v>0.255555555555556</v>
      </c>
      <c r="F39" s="24">
        <f>(C39-ValDate)/365</f>
        <v>9.0054794520548</v>
      </c>
      <c r="G39" s="24">
        <f>(D39-ValDate)/365</f>
        <v>9.25753424657534</v>
      </c>
      <c r="H39" s="25">
        <f>B39*Notional*IF(Linear=1,1-(A39-1)/NPer,1)</f>
        <v>0</v>
      </c>
      <c r="I39" s="26">
        <f>(IR_DF("EURIBOR",C39,MktData,MktShift)/IR_DF("EURIBOR",D39,MktData,MktShift)-1)/E39</f>
        <v>0.0304306288002145</v>
      </c>
      <c r="J39" s="27">
        <f>IR_DF("ESTR",D39,MktData,MktShift)</f>
        <v>0.796389374499249</v>
      </c>
      <c r="K39" s="25">
        <f>H39*E39*J39</f>
        <v>0</v>
      </c>
      <c r="L39" s="22">
        <f>IF(A39=1,0,1)</f>
        <v>1</v>
      </c>
      <c r="M39" s="26">
        <f>CapVolBp/10000*SQRT(F39)</f>
        <v>0.0237076245980786</v>
      </c>
      <c r="N39" s="24">
        <f>IF(M39&gt;0,(I39-CapStrike)/M39,0)</f>
        <v>0.018164147927728</v>
      </c>
      <c r="O39" s="25">
        <f>K39*IF(M39&gt;0,(I39-CapStrike)*NORMSDIST(N39)+M39*NORMDIST(N39,0,1,FALSE),MAX(I39-CapStrike,0))</f>
        <v>0</v>
      </c>
      <c r="P39" s="24">
        <f>IF(M39&gt;0,I39/M39,0)</f>
        <v>1.28357983206301</v>
      </c>
      <c r="Q39" s="25">
        <f>K39*IF(M39&gt;0,(0-I39)*NORMSDIST(-P39)+M39*NORMDIST(P39,0,1,FALSE),MAX(-I39,0))</f>
        <v>0</v>
      </c>
      <c r="R39" s="24">
        <f>IF(M39&gt;0,(I39-CollarFloor)/M39,0)</f>
        <v>0.586960850454209</v>
      </c>
      <c r="S39" s="25">
        <f>K39*IF(M39&gt;0,(CollarFloor-I39)*NORMSDIST(-R39)+M39*NORMDIST(R39,0,1,FALSE),MAX(CollarFloor-I39,0))</f>
        <v>0</v>
      </c>
      <c r="T39" s="25">
        <f>K39*(I39-SwapRate)</f>
        <v>0</v>
      </c>
      <c r="U39" s="25">
        <f>K39*(I39-FSwapRate)</f>
        <v>0</v>
      </c>
    </row>
    <row r="40" spans="1:21">
      <c r="A40" s="22">
        <f>ROW()-2</f>
        <v>38</v>
      </c>
      <c r="B40" s="22">
        <f>IF(A40&lt;=NPer,1,0)</f>
        <v>0</v>
      </c>
      <c r="C40" s="23">
        <f>EDATE(ValDate,3*(A40-1))</f>
        <v>49695</v>
      </c>
      <c r="D40" s="23">
        <f>EDATE(ValDate,3*A40)</f>
        <v>49786</v>
      </c>
      <c r="E40" s="24">
        <f>(D40-C40)/360</f>
        <v>0.252777777777778</v>
      </c>
      <c r="F40" s="24">
        <f>(C40-ValDate)/365</f>
        <v>9.25753424657534</v>
      </c>
      <c r="G40" s="24">
        <f>(D40-ValDate)/365</f>
        <v>9.50684931506849</v>
      </c>
      <c r="H40" s="25">
        <f>B40*Notional*IF(Linear=1,1-(A40-1)/NPer,1)</f>
        <v>0</v>
      </c>
      <c r="I40" s="26">
        <f>(IR_DF("EURIBOR",C40,MktData,MktShift)/IR_DF("EURIBOR",D40,MktData,MktShift)-1)/E40</f>
        <v>0.0304293460140379</v>
      </c>
      <c r="J40" s="27">
        <f>IR_DF("ESTR",D40,MktData,MktShift)</f>
        <v>0.790423174422418</v>
      </c>
      <c r="K40" s="25">
        <f>H40*E40*J40</f>
        <v>0</v>
      </c>
      <c r="L40" s="22">
        <f>IF(A40=1,0,1)</f>
        <v>1</v>
      </c>
      <c r="M40" s="26">
        <f>CapVolBp/10000*SQRT(F40)</f>
        <v>0.0240371119179787</v>
      </c>
      <c r="N40" s="24">
        <f>IF(M40&gt;0,(I40-CapStrike)/M40,0)</f>
        <v>0.0178617970204973</v>
      </c>
      <c r="O40" s="25">
        <f>K40*IF(M40&gt;0,(I40-CapStrike)*NORMSDIST(N40)+M40*NORMDIST(N40,0,1,FALSE),MAX(I40-CapStrike,0))</f>
        <v>0</v>
      </c>
      <c r="P40" s="24">
        <f>IF(M40&gt;0,I40/M40,0)</f>
        <v>1.26593186893131</v>
      </c>
      <c r="Q40" s="25">
        <f>K40*IF(M40&gt;0,(0-I40)*NORMSDIST(-P40)+M40*NORMDIST(P40,0,1,FALSE),MAX(-I40,0))</f>
        <v>0</v>
      </c>
      <c r="R40" s="24">
        <f>IF(M40&gt;0,(I40-CollarFloor)/M40,0)</f>
        <v>0.578861751679641</v>
      </c>
      <c r="S40" s="25">
        <f>K40*IF(M40&gt;0,(CollarFloor-I40)*NORMSDIST(-R40)+M40*NORMDIST(R40,0,1,FALSE),MAX(CollarFloor-I40,0))</f>
        <v>0</v>
      </c>
      <c r="T40" s="25">
        <f>K40*(I40-SwapRate)</f>
        <v>0</v>
      </c>
      <c r="U40" s="25">
        <f>K40*(I40-FSwapRate)</f>
        <v>0</v>
      </c>
    </row>
    <row r="41" spans="1:21">
      <c r="A41" s="22">
        <f>ROW()-2</f>
        <v>39</v>
      </c>
      <c r="B41" s="22">
        <f>IF(A41&lt;=NPer,1,0)</f>
        <v>0</v>
      </c>
      <c r="C41" s="23">
        <f>EDATE(ValDate,3*(A41-1))</f>
        <v>49786</v>
      </c>
      <c r="D41" s="23">
        <f>EDATE(ValDate,3*A41)</f>
        <v>49877</v>
      </c>
      <c r="E41" s="24">
        <f>(D41-C41)/360</f>
        <v>0.252777777777778</v>
      </c>
      <c r="F41" s="24">
        <f>(C41-ValDate)/365</f>
        <v>9.50684931506849</v>
      </c>
      <c r="G41" s="24">
        <f>(D41-ValDate)/365</f>
        <v>9.75616438356164</v>
      </c>
      <c r="H41" s="25">
        <f>B41*Notional*IF(Linear=1,1-(A41-1)/NPer,1)</f>
        <v>0</v>
      </c>
      <c r="I41" s="26">
        <f>(IR_DF("EURIBOR",C41,MktData,MktShift)/IR_DF("EURIBOR",D41,MktData,MktShift)-1)/E41</f>
        <v>0.0304293460140388</v>
      </c>
      <c r="J41" s="27">
        <f>IR_DF("ESTR",D41,MktData,MktShift)</f>
        <v>0.784501670501132</v>
      </c>
      <c r="K41" s="25">
        <f>H41*E41*J41</f>
        <v>0</v>
      </c>
      <c r="L41" s="22">
        <f>IF(A41=1,0,1)</f>
        <v>1</v>
      </c>
      <c r="M41" s="26">
        <f>CapVolBp/10000*SQRT(F41)</f>
        <v>0.0243586338369007</v>
      </c>
      <c r="N41" s="24">
        <f>IF(M41&gt;0,(I41-CapStrike)/M41,0)</f>
        <v>0.017626030134267</v>
      </c>
      <c r="O41" s="25">
        <f>K41*IF(M41&gt;0,(I41-CapStrike)*NORMSDIST(N41)+M41*NORMDIST(N41,0,1,FALSE),MAX(I41-CapStrike,0))</f>
        <v>0</v>
      </c>
      <c r="P41" s="24">
        <f>IF(M41&gt;0,I41/M41,0)</f>
        <v>1.24922219438849</v>
      </c>
      <c r="Q41" s="25">
        <f>K41*IF(M41&gt;0,(0-I41)*NORMSDIST(-P41)+M41*NORMDIST(P41,0,1,FALSE),MAX(-I41,0))</f>
        <v>0</v>
      </c>
      <c r="R41" s="24">
        <f>IF(M41&gt;0,(I41-CollarFloor)/M41,0)</f>
        <v>0.571221062861215</v>
      </c>
      <c r="S41" s="25">
        <f>K41*IF(M41&gt;0,(CollarFloor-I41)*NORMSDIST(-R41)+M41*NORMDIST(R41,0,1,FALSE),MAX(CollarFloor-I41,0))</f>
        <v>0</v>
      </c>
      <c r="T41" s="25">
        <f>K41*(I41-SwapRate)</f>
        <v>0</v>
      </c>
      <c r="U41" s="25">
        <f>K41*(I41-FSwapRate)</f>
        <v>0</v>
      </c>
    </row>
    <row r="42" spans="1:21">
      <c r="A42" s="22">
        <f>ROW()-2</f>
        <v>40</v>
      </c>
      <c r="B42" s="22">
        <f>IF(A42&lt;=NPer,1,0)</f>
        <v>0</v>
      </c>
      <c r="C42" s="23">
        <f>EDATE(ValDate,3*(A42-1))</f>
        <v>49877</v>
      </c>
      <c r="D42" s="23">
        <f>EDATE(ValDate,3*A42)</f>
        <v>49969</v>
      </c>
      <c r="E42" s="24">
        <f>(D42-C42)/360</f>
        <v>0.255555555555556</v>
      </c>
      <c r="F42" s="24">
        <f>(C42-ValDate)/365</f>
        <v>9.75616438356164</v>
      </c>
      <c r="G42" s="24">
        <f>(D42-ValDate)/365</f>
        <v>10.0082191780822</v>
      </c>
      <c r="H42" s="25">
        <f>B42*Notional*IF(Linear=1,1-(A42-1)/NPer,1)</f>
        <v>0</v>
      </c>
      <c r="I42" s="26">
        <f>(IR_DF("EURIBOR",C42,MktData,MktShift)/IR_DF("EURIBOR",D42,MktData,MktShift)-1)/E42</f>
        <v>0.0304306288002145</v>
      </c>
      <c r="J42" s="27">
        <f>IR_DF("ESTR",D42,MktData,MktShift)</f>
        <v>0.77856018908885</v>
      </c>
      <c r="K42" s="25">
        <f>H42*E42*J42</f>
        <v>0</v>
      </c>
      <c r="L42" s="22">
        <f>IF(A42=1,0,1)</f>
        <v>1</v>
      </c>
      <c r="M42" s="26">
        <f>CapVolBp/10000*SQRT(F42)</f>
        <v>0.0246759667580214</v>
      </c>
      <c r="N42" s="24">
        <f>IF(M42&gt;0,(I42-CapStrike)/M42,0)</f>
        <v>0.0174513446398026</v>
      </c>
      <c r="O42" s="25">
        <f>K42*IF(M42&gt;0,(I42-CapStrike)*NORMSDIST(N42)+M42*NORMDIST(N42,0,1,FALSE),MAX(I42-CapStrike,0))</f>
        <v>0</v>
      </c>
      <c r="P42" s="24">
        <f>IF(M42&gt;0,I42/M42,0)</f>
        <v>1.23320918279007</v>
      </c>
      <c r="Q42" s="25">
        <f>K42*IF(M42&gt;0,(0-I42)*NORMSDIST(-P42)+M42*NORMDIST(P42,0,1,FALSE),MAX(-I42,0))</f>
        <v>0</v>
      </c>
      <c r="R42" s="24">
        <f>IF(M42&gt;0,(I42-CollarFloor)/M42,0)</f>
        <v>0.563927145501356</v>
      </c>
      <c r="S42" s="25">
        <f>K42*IF(M42&gt;0,(CollarFloor-I42)*NORMSDIST(-R42)+M42*NORMDIST(R42,0,1,FALSE),MAX(CollarFloor-I42,0))</f>
        <v>0</v>
      </c>
      <c r="T42" s="25">
        <f>K42*(I42-SwapRate)</f>
        <v>0</v>
      </c>
      <c r="U42" s="25">
        <f>K42*(I42-FSwapRate)</f>
        <v>0</v>
      </c>
    </row>
    <row r="44" spans="1:21">
      <c r="A44" s="11" t="s">
        <v>107</v>
      </c>
      <c r="K44" s="28">
        <f>SUM(K3:K42)</f>
        <v>240442867.916548</v>
      </c>
      <c r="O44" s="28">
        <f>SUM(O3:O42)</f>
        <v>511065.76139702</v>
      </c>
      <c r="Q44" s="28">
        <f>SUM(Q3:Q42)</f>
        <v>43084.7719962774</v>
      </c>
      <c r="S44" s="28">
        <f>SUM(S3:S42)</f>
        <v>511065.761397803</v>
      </c>
      <c r="T44" s="28">
        <f>SUM(T3:T42)</f>
        <v>-2.61934474110603e-10</v>
      </c>
      <c r="U44" s="28">
        <f>SUM(U3:U42)</f>
        <v>-43084.771996278</v>
      </c>
    </row>
    <row r="46" spans="1:21">
      <c r="A46" s="2" t="s">
        <v>108</v>
      </c>
    </row>
  </sheetData>
  <conditionalFormatting sqref="A3:U42">
    <cfRule type="expression" dxfId="0" priority="1">
      <formula>$B3=0</formula>
    </cfRule>
  </conditionalFormatting>
  <pageMargins left="0.4" right="0.4" top="0.5" bottom="0.5" header="0.3" footer="0.3"/>
  <pageSetup paperSize="9" fitToHeight="0" orientation="landscape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pageSetUpPr fitToPage="1"/>
  </sheetPr>
  <dimension ref="A1:H33"/>
  <sheetViews>
    <sheetView showGridLines="0" workbookViewId="0"/>
  </sheetViews>
  <sheetFormatPr defaultRowHeight="15"/>
  <cols>
    <col min="1" max="1" width="12.7109375" customWidth="1"/>
    <col min="2" max="8" width="17.7109375" customWidth="1"/>
  </cols>
  <sheetData>
    <row r="1" spans="1:8">
      <c r="A1" s="19" t="s">
        <v>109</v>
      </c>
    </row>
    <row r="2" spans="1:8" ht="32" customHeight="1">
      <c r="A2" s="9" t="s">
        <v>110</v>
      </c>
      <c r="B2" s="9" t="s">
        <v>111</v>
      </c>
      <c r="C2" s="9" t="s">
        <v>72</v>
      </c>
      <c r="D2" s="9" t="s">
        <v>73</v>
      </c>
      <c r="E2" s="9" t="s">
        <v>74</v>
      </c>
      <c r="F2" s="9" t="s">
        <v>75</v>
      </c>
      <c r="G2" s="9" t="s">
        <v>76</v>
      </c>
      <c r="H2" s="9" t="s">
        <v>112</v>
      </c>
    </row>
    <row r="3" spans="1:8">
      <c r="A3" s="22">
        <v>-300</v>
      </c>
      <c r="B3" s="29">
        <f>SUMPRODUCT(LoanN*Accr*(Fwd+$A3/10000*Mask))/SumBase</f>
        <v>-0.00583728619769327</v>
      </c>
      <c r="C3" s="29">
        <f>Margin+SUMPRODUCT(LoanN*Accr*((Fwd+$A3/10000*Mask)+FloorOn*(ABS((Fwd+$A3/10000*Mask))-(Fwd+$A3/10000*Mask))/2))/SumBase</f>
        <v>0.0160227820372399</v>
      </c>
      <c r="D3" s="29">
        <f>$C3-HedgeRatio*SUMPRODUCT(LoanN*Accr*((Fwd+$A3/10000*Mask)-SwapRate))/SumBase</f>
        <v>0.0444472720588469</v>
      </c>
      <c r="E3" s="29">
        <f>$C3-HedgeRatio*SUMPRODUCT(LoanN*Accr*(((Fwd+$A3/10000*Mask)+ABS((Fwd+$A3/10000*Mask)))/2-FSwapRate))/SumBase</f>
        <v>0.0377663930523971</v>
      </c>
      <c r="F3" s="29">
        <f>$C3-HedgeRatio*SUMPRODUCT(LoanN*Accr*((Fwd+$A3/10000*Mask)-CapStrike+ABS((Fwd+$A3/10000*Mask)-CapStrike))/2)/SumBase+CapPremium/Annuity1</f>
        <v>0.0181483005266234</v>
      </c>
      <c r="G3" s="29">
        <f>$C3-HedgeRatio*SUMPRODUCT(LoanN*Accr*(((Fwd+$A3/10000*Mask)-CapStrike+ABS((Fwd+$A3/10000*Mask)-CapStrike))/2-(CollarFloor-(Fwd+$A3/10000*Mask)+ABS(CollarFloor-(Fwd+$A3/10000*Mask)))/2))/SumBase</f>
        <v>0.0385659413898746</v>
      </c>
      <c r="H3" s="29">
        <f>Budget</f>
        <v>0.04</v>
      </c>
    </row>
    <row r="4" spans="1:8">
      <c r="A4" s="22">
        <v>-275</v>
      </c>
      <c r="B4" s="29">
        <f>SUMPRODUCT(LoanN*Accr*(Fwd+$A4/10000*Mask))/SumBase</f>
        <v>-0.0034632445766637</v>
      </c>
      <c r="C4" s="29">
        <f>Margin+SUMPRODUCT(LoanN*Accr*((Fwd+$A4/10000*Mask)+FloorOn*(ABS((Fwd+$A4/10000*Mask))-(Fwd+$A4/10000*Mask))/2))/SumBase</f>
        <v>0.0160227820372399</v>
      </c>
      <c r="D4" s="29">
        <f>$C4-HedgeRatio*SUMPRODUCT(LoanN*Accr*((Fwd+$A4/10000*Mask)-SwapRate))/SumBase</f>
        <v>0.0420732304378174</v>
      </c>
      <c r="E4" s="29">
        <f>$C4-HedgeRatio*SUMPRODUCT(LoanN*Accr*(((Fwd+$A4/10000*Mask)+ABS((Fwd+$A4/10000*Mask)))/2-FSwapRate))/SumBase</f>
        <v>0.0377663930523971</v>
      </c>
      <c r="F4" s="29">
        <f>$C4-HedgeRatio*SUMPRODUCT(LoanN*Accr*((Fwd+$A4/10000*Mask)-CapStrike+ABS((Fwd+$A4/10000*Mask)-CapStrike))/2)/SumBase+CapPremium/Annuity1</f>
        <v>0.0181483005266234</v>
      </c>
      <c r="G4" s="29">
        <f>$C4-HedgeRatio*SUMPRODUCT(LoanN*Accr*(((Fwd+$A4/10000*Mask)-CapStrike+ABS((Fwd+$A4/10000*Mask)-CapStrike))/2-(CollarFloor-(Fwd+$A4/10000*Mask)+ABS(CollarFloor-(Fwd+$A4/10000*Mask)))/2))/SumBase</f>
        <v>0.036191899768845</v>
      </c>
      <c r="H4" s="29">
        <f>Budget</f>
        <v>0.04</v>
      </c>
    </row>
    <row r="5" spans="1:8">
      <c r="A5" s="22">
        <v>-250</v>
      </c>
      <c r="B5" s="29">
        <f>SUMPRODUCT(LoanN*Accr*(Fwd+$A5/10000*Mask))/SumBase</f>
        <v>-0.00108920295563413</v>
      </c>
      <c r="C5" s="29">
        <f>Margin+SUMPRODUCT(LoanN*Accr*((Fwd+$A5/10000*Mask)+FloorOn*(ABS((Fwd+$A5/10000*Mask))-(Fwd+$A5/10000*Mask))/2))/SumBase</f>
        <v>0.0161176765853225</v>
      </c>
      <c r="D5" s="29">
        <f>$C5-HedgeRatio*SUMPRODUCT(LoanN*Accr*((Fwd+$A5/10000*Mask)-SwapRate))/SumBase</f>
        <v>0.0397940833648704</v>
      </c>
      <c r="E5" s="29">
        <f>$C5-HedgeRatio*SUMPRODUCT(LoanN*Accr*(((Fwd+$A5/10000*Mask)+ABS((Fwd+$A5/10000*Mask)))/2-FSwapRate))/SumBase</f>
        <v>0.0377663930523971</v>
      </c>
      <c r="F5" s="29">
        <f>$C5-HedgeRatio*SUMPRODUCT(LoanN*Accr*((Fwd+$A5/10000*Mask)-CapStrike+ABS((Fwd+$A5/10000*Mask)-CapStrike))/2)/SumBase+CapPremium/Annuity1</f>
        <v>0.018243195074706</v>
      </c>
      <c r="G5" s="29">
        <f>$C5-HedgeRatio*SUMPRODUCT(LoanN*Accr*(((Fwd+$A5/10000*Mask)-CapStrike+ABS((Fwd+$A5/10000*Mask)-CapStrike))/2-(CollarFloor-(Fwd+$A5/10000*Mask)+ABS(CollarFloor-(Fwd+$A5/10000*Mask)))/2))/SumBase</f>
        <v>0.0339127526958981</v>
      </c>
      <c r="H5" s="29">
        <f>Budget</f>
        <v>0.04</v>
      </c>
    </row>
    <row r="6" spans="1:8">
      <c r="A6" s="22">
        <v>-225</v>
      </c>
      <c r="B6" s="29">
        <f>SUMPRODUCT(LoanN*Accr*(Fwd+$A6/10000*Mask))/SumBase</f>
        <v>0.00128483866539545</v>
      </c>
      <c r="C6" s="29">
        <f>Margin+SUMPRODUCT(LoanN*Accr*((Fwd+$A6/10000*Mask)+FloorOn*(ABS((Fwd+$A6/10000*Mask))-(Fwd+$A6/10000*Mask))/2))/SumBase</f>
        <v>0.0170371740880624</v>
      </c>
      <c r="D6" s="29">
        <f>$C6-HedgeRatio*SUMPRODUCT(LoanN*Accr*((Fwd+$A6/10000*Mask)-SwapRate))/SumBase</f>
        <v>0.0383395392465808</v>
      </c>
      <c r="E6" s="29">
        <f>$C6-HedgeRatio*SUMPRODUCT(LoanN*Accr*(((Fwd+$A6/10000*Mask)+ABS((Fwd+$A6/10000*Mask)))/2-FSwapRate))/SumBase</f>
        <v>0.0377663930523971</v>
      </c>
      <c r="F6" s="29">
        <f>$C6-HedgeRatio*SUMPRODUCT(LoanN*Accr*((Fwd+$A6/10000*Mask)-CapStrike+ABS((Fwd+$A6/10000*Mask)-CapStrike))/2)/SumBase+CapPremium/Annuity1</f>
        <v>0.019162692577446</v>
      </c>
      <c r="G6" s="29">
        <f>$C6-HedgeRatio*SUMPRODUCT(LoanN*Accr*(((Fwd+$A6/10000*Mask)-CapStrike+ABS((Fwd+$A6/10000*Mask)-CapStrike))/2-(CollarFloor-(Fwd+$A6/10000*Mask)+ABS(CollarFloor-(Fwd+$A6/10000*Mask)))/2))/SumBase</f>
        <v>0.0324582085776084</v>
      </c>
      <c r="H6" s="29">
        <f>Budget</f>
        <v>0.04</v>
      </c>
    </row>
    <row r="7" spans="1:8">
      <c r="A7" s="22">
        <v>-200</v>
      </c>
      <c r="B7" s="29">
        <f>SUMPRODUCT(LoanN*Accr*(Fwd+$A7/10000*Mask))/SumBase</f>
        <v>0.00365888028642502</v>
      </c>
      <c r="C7" s="29">
        <f>Margin+SUMPRODUCT(LoanN*Accr*((Fwd+$A7/10000*Mask)+FloorOn*(ABS((Fwd+$A7/10000*Mask))-(Fwd+$A7/10000*Mask))/2))/SumBase</f>
        <v>0.0186977042471822</v>
      </c>
      <c r="D7" s="29">
        <f>$C7-HedgeRatio*SUMPRODUCT(LoanN*Accr*((Fwd+$A7/10000*Mask)-SwapRate))/SumBase</f>
        <v>0.037626027784671</v>
      </c>
      <c r="E7" s="29">
        <f>$C7-HedgeRatio*SUMPRODUCT(LoanN*Accr*(((Fwd+$A7/10000*Mask)+ABS((Fwd+$A7/10000*Mask)))/2-FSwapRate))/SumBase</f>
        <v>0.0377663930523971</v>
      </c>
      <c r="F7" s="29">
        <f>$C7-HedgeRatio*SUMPRODUCT(LoanN*Accr*((Fwd+$A7/10000*Mask)-CapStrike+ABS((Fwd+$A7/10000*Mask)-CapStrike))/2)/SumBase+CapPremium/Annuity1</f>
        <v>0.0208232227365658</v>
      </c>
      <c r="G7" s="29">
        <f>$C7-HedgeRatio*SUMPRODUCT(LoanN*Accr*(((Fwd+$A7/10000*Mask)-CapStrike+ABS((Fwd+$A7/10000*Mask)-CapStrike))/2-(CollarFloor-(Fwd+$A7/10000*Mask)+ABS(CollarFloor-(Fwd+$A7/10000*Mask)))/2))/SumBase</f>
        <v>0.0317446971156987</v>
      </c>
      <c r="H7" s="29">
        <f>Budget</f>
        <v>0.04</v>
      </c>
    </row>
    <row r="8" spans="1:8">
      <c r="A8" s="22">
        <v>-175</v>
      </c>
      <c r="B8" s="29">
        <f>SUMPRODUCT(LoanN*Accr*(Fwd+$A8/10000*Mask))/SumBase</f>
        <v>0.00603292190745459</v>
      </c>
      <c r="C8" s="29">
        <f>Margin+SUMPRODUCT(LoanN*Accr*((Fwd+$A8/10000*Mask)+FloorOn*(ABS((Fwd+$A8/10000*Mask))-(Fwd+$A8/10000*Mask))/2))/SumBase</f>
        <v>0.0210329219074546</v>
      </c>
      <c r="D8" s="29">
        <f>$C8-HedgeRatio*SUMPRODUCT(LoanN*Accr*((Fwd+$A8/10000*Mask)-SwapRate))/SumBase</f>
        <v>0.0375872038239138</v>
      </c>
      <c r="E8" s="29">
        <f>$C8-HedgeRatio*SUMPRODUCT(LoanN*Accr*(((Fwd+$A8/10000*Mask)+ABS((Fwd+$A8/10000*Mask)))/2-FSwapRate))/SumBase</f>
        <v>0.0377663930523971</v>
      </c>
      <c r="F8" s="29">
        <f>$C8-HedgeRatio*SUMPRODUCT(LoanN*Accr*((Fwd+$A8/10000*Mask)-CapStrike+ABS((Fwd+$A8/10000*Mask)-CapStrike))/2)/SumBase+CapPremium/Annuity1</f>
        <v>0.0231584403968381</v>
      </c>
      <c r="G8" s="29">
        <f>$C8-HedgeRatio*SUMPRODUCT(LoanN*Accr*(((Fwd+$A8/10000*Mask)-CapStrike+ABS((Fwd+$A8/10000*Mask)-CapStrike))/2-(CollarFloor-(Fwd+$A8/10000*Mask)+ABS(CollarFloor-(Fwd+$A8/10000*Mask)))/2))/SumBase</f>
        <v>0.0317058731549415</v>
      </c>
      <c r="H8" s="29">
        <f>Budget</f>
        <v>0.04</v>
      </c>
    </row>
    <row r="9" spans="1:8">
      <c r="A9" s="22">
        <v>-150</v>
      </c>
      <c r="B9" s="29">
        <f>SUMPRODUCT(LoanN*Accr*(Fwd+$A9/10000*Mask))/SumBase</f>
        <v>0.00840696352848417</v>
      </c>
      <c r="C9" s="29">
        <f>Margin+SUMPRODUCT(LoanN*Accr*((Fwd+$A9/10000*Mask)+FloorOn*(ABS((Fwd+$A9/10000*Mask))-(Fwd+$A9/10000*Mask))/2))/SumBase</f>
        <v>0.0234069635284842</v>
      </c>
      <c r="D9" s="29">
        <f>$C9-HedgeRatio*SUMPRODUCT(LoanN*Accr*((Fwd+$A9/10000*Mask)-SwapRate))/SumBase</f>
        <v>0.0375872038239138</v>
      </c>
      <c r="E9" s="29">
        <f>$C9-HedgeRatio*SUMPRODUCT(LoanN*Accr*(((Fwd+$A9/10000*Mask)+ABS((Fwd+$A9/10000*Mask)))/2-FSwapRate))/SumBase</f>
        <v>0.0377663930523971</v>
      </c>
      <c r="F9" s="29">
        <f>$C9-HedgeRatio*SUMPRODUCT(LoanN*Accr*((Fwd+$A9/10000*Mask)-CapStrike+ABS((Fwd+$A9/10000*Mask)-CapStrike))/2)/SumBase+CapPremium/Annuity1</f>
        <v>0.0255324820178677</v>
      </c>
      <c r="G9" s="29">
        <f>$C9-HedgeRatio*SUMPRODUCT(LoanN*Accr*(((Fwd+$A9/10000*Mask)-CapStrike+ABS((Fwd+$A9/10000*Mask)-CapStrike))/2-(CollarFloor-(Fwd+$A9/10000*Mask)+ABS(CollarFloor-(Fwd+$A9/10000*Mask)))/2))/SumBase</f>
        <v>0.0317058731549415</v>
      </c>
      <c r="H9" s="29">
        <f>Budget</f>
        <v>0.04</v>
      </c>
    </row>
    <row r="10" spans="1:8">
      <c r="A10" s="22">
        <v>-125</v>
      </c>
      <c r="B10" s="29">
        <f>SUMPRODUCT(LoanN*Accr*(Fwd+$A10/10000*Mask))/SumBase</f>
        <v>0.0107810051495137</v>
      </c>
      <c r="C10" s="29">
        <f>Margin+SUMPRODUCT(LoanN*Accr*((Fwd+$A10/10000*Mask)+FloorOn*(ABS((Fwd+$A10/10000*Mask))-(Fwd+$A10/10000*Mask))/2))/SumBase</f>
        <v>0.0257810051495137</v>
      </c>
      <c r="D10" s="29">
        <f>$C10-HedgeRatio*SUMPRODUCT(LoanN*Accr*((Fwd+$A10/10000*Mask)-SwapRate))/SumBase</f>
        <v>0.0375872038239138</v>
      </c>
      <c r="E10" s="29">
        <f>$C10-HedgeRatio*SUMPRODUCT(LoanN*Accr*(((Fwd+$A10/10000*Mask)+ABS((Fwd+$A10/10000*Mask)))/2-FSwapRate))/SumBase</f>
        <v>0.0377663930523971</v>
      </c>
      <c r="F10" s="29">
        <f>$C10-HedgeRatio*SUMPRODUCT(LoanN*Accr*((Fwd+$A10/10000*Mask)-CapStrike+ABS((Fwd+$A10/10000*Mask)-CapStrike))/2)/SumBase+CapPremium/Annuity1</f>
        <v>0.0279065236388972</v>
      </c>
      <c r="G10" s="29">
        <f>$C10-HedgeRatio*SUMPRODUCT(LoanN*Accr*(((Fwd+$A10/10000*Mask)-CapStrike+ABS((Fwd+$A10/10000*Mask)-CapStrike))/2-(CollarFloor-(Fwd+$A10/10000*Mask)+ABS(CollarFloor-(Fwd+$A10/10000*Mask)))/2))/SumBase</f>
        <v>0.0317058731549415</v>
      </c>
      <c r="H10" s="29">
        <f>Budget</f>
        <v>0.04</v>
      </c>
    </row>
    <row r="11" spans="1:8">
      <c r="A11" s="22">
        <v>-100</v>
      </c>
      <c r="B11" s="29">
        <f>SUMPRODUCT(LoanN*Accr*(Fwd+$A11/10000*Mask))/SumBase</f>
        <v>0.0131550467705433</v>
      </c>
      <c r="C11" s="29">
        <f>Margin+SUMPRODUCT(LoanN*Accr*((Fwd+$A11/10000*Mask)+FloorOn*(ABS((Fwd+$A11/10000*Mask))-(Fwd+$A11/10000*Mask))/2))/SumBase</f>
        <v>0.0281550467705433</v>
      </c>
      <c r="D11" s="29">
        <f>$C11-HedgeRatio*SUMPRODUCT(LoanN*Accr*((Fwd+$A11/10000*Mask)-SwapRate))/SumBase</f>
        <v>0.0375872038239138</v>
      </c>
      <c r="E11" s="29">
        <f>$C11-HedgeRatio*SUMPRODUCT(LoanN*Accr*(((Fwd+$A11/10000*Mask)+ABS((Fwd+$A11/10000*Mask)))/2-FSwapRate))/SumBase</f>
        <v>0.0377663930523971</v>
      </c>
      <c r="F11" s="29">
        <f>$C11-HedgeRatio*SUMPRODUCT(LoanN*Accr*((Fwd+$A11/10000*Mask)-CapStrike+ABS((Fwd+$A11/10000*Mask)-CapStrike))/2)/SumBase+CapPremium/Annuity1</f>
        <v>0.0302805652599268</v>
      </c>
      <c r="G11" s="29">
        <f>$C11-HedgeRatio*SUMPRODUCT(LoanN*Accr*(((Fwd+$A11/10000*Mask)-CapStrike+ABS((Fwd+$A11/10000*Mask)-CapStrike))/2-(CollarFloor-(Fwd+$A11/10000*Mask)+ABS(CollarFloor-(Fwd+$A11/10000*Mask)))/2))/SumBase</f>
        <v>0.0317058731549415</v>
      </c>
      <c r="H11" s="29">
        <f>Budget</f>
        <v>0.04</v>
      </c>
    </row>
    <row r="12" spans="1:8">
      <c r="A12" s="22">
        <v>-75</v>
      </c>
      <c r="B12" s="29">
        <f>SUMPRODUCT(LoanN*Accr*(Fwd+$A12/10000*Mask))/SumBase</f>
        <v>0.0155290883915729</v>
      </c>
      <c r="C12" s="29">
        <f>Margin+SUMPRODUCT(LoanN*Accr*((Fwd+$A12/10000*Mask)+FloorOn*(ABS((Fwd+$A12/10000*Mask))-(Fwd+$A12/10000*Mask))/2))/SumBase</f>
        <v>0.0305290883915729</v>
      </c>
      <c r="D12" s="29">
        <f>$C12-HedgeRatio*SUMPRODUCT(LoanN*Accr*((Fwd+$A12/10000*Mask)-SwapRate))/SumBase</f>
        <v>0.0375872038239138</v>
      </c>
      <c r="E12" s="29">
        <f>$C12-HedgeRatio*SUMPRODUCT(LoanN*Accr*(((Fwd+$A12/10000*Mask)+ABS((Fwd+$A12/10000*Mask)))/2-FSwapRate))/SumBase</f>
        <v>0.0377663930523971</v>
      </c>
      <c r="F12" s="29">
        <f>$C12-HedgeRatio*SUMPRODUCT(LoanN*Accr*((Fwd+$A12/10000*Mask)-CapStrike+ABS((Fwd+$A12/10000*Mask)-CapStrike))/2)/SumBase+CapPremium/Annuity1</f>
        <v>0.0326546068809564</v>
      </c>
      <c r="G12" s="29">
        <f>$C12-HedgeRatio*SUMPRODUCT(LoanN*Accr*(((Fwd+$A12/10000*Mask)-CapStrike+ABS((Fwd+$A12/10000*Mask)-CapStrike))/2-(CollarFloor-(Fwd+$A12/10000*Mask)+ABS(CollarFloor-(Fwd+$A12/10000*Mask)))/2))/SumBase</f>
        <v>0.0320652363370121</v>
      </c>
      <c r="H12" s="29">
        <f>Budget</f>
        <v>0.04</v>
      </c>
    </row>
    <row r="13" spans="1:8">
      <c r="A13" s="22">
        <v>-50</v>
      </c>
      <c r="B13" s="29">
        <f>SUMPRODUCT(LoanN*Accr*(Fwd+$A13/10000*Mask))/SumBase</f>
        <v>0.0179031300126025</v>
      </c>
      <c r="C13" s="29">
        <f>Margin+SUMPRODUCT(LoanN*Accr*((Fwd+$A13/10000*Mask)+FloorOn*(ABS((Fwd+$A13/10000*Mask))-(Fwd+$A13/10000*Mask))/2))/SumBase</f>
        <v>0.0329031300126025</v>
      </c>
      <c r="D13" s="29">
        <f>$C13-HedgeRatio*SUMPRODUCT(LoanN*Accr*((Fwd+$A13/10000*Mask)-SwapRate))/SumBase</f>
        <v>0.0375872038239138</v>
      </c>
      <c r="E13" s="29">
        <f>$C13-HedgeRatio*SUMPRODUCT(LoanN*Accr*(((Fwd+$A13/10000*Mask)+ABS((Fwd+$A13/10000*Mask)))/2-FSwapRate))/SumBase</f>
        <v>0.0377663930523971</v>
      </c>
      <c r="F13" s="29">
        <f>$C13-HedgeRatio*SUMPRODUCT(LoanN*Accr*((Fwd+$A13/10000*Mask)-CapStrike+ABS((Fwd+$A13/10000*Mask)-CapStrike))/2)/SumBase+CapPremium/Annuity1</f>
        <v>0.035028648501986</v>
      </c>
      <c r="G13" s="29">
        <f>$C13-HedgeRatio*SUMPRODUCT(LoanN*Accr*(((Fwd+$A13/10000*Mask)-CapStrike+ABS((Fwd+$A13/10000*Mask)-CapStrike))/2-(CollarFloor-(Fwd+$A13/10000*Mask)+ABS(CollarFloor-(Fwd+$A13/10000*Mask)))/2))/SumBase</f>
        <v>0.0333108328247424</v>
      </c>
      <c r="H13" s="29">
        <f>Budget</f>
        <v>0.04</v>
      </c>
    </row>
    <row r="14" spans="1:8">
      <c r="A14" s="22">
        <v>-25</v>
      </c>
      <c r="B14" s="29">
        <f>SUMPRODUCT(LoanN*Accr*(Fwd+$A14/10000*Mask))/SumBase</f>
        <v>0.020277171633632</v>
      </c>
      <c r="C14" s="29">
        <f>Margin+SUMPRODUCT(LoanN*Accr*((Fwd+$A14/10000*Mask)+FloorOn*(ABS((Fwd+$A14/10000*Mask))-(Fwd+$A14/10000*Mask))/2))/SumBase</f>
        <v>0.035277171633632</v>
      </c>
      <c r="D14" s="29">
        <f>$C14-HedgeRatio*SUMPRODUCT(LoanN*Accr*((Fwd+$A14/10000*Mask)-SwapRate))/SumBase</f>
        <v>0.0375872038239138</v>
      </c>
      <c r="E14" s="29">
        <f>$C14-HedgeRatio*SUMPRODUCT(LoanN*Accr*(((Fwd+$A14/10000*Mask)+ABS((Fwd+$A14/10000*Mask)))/2-FSwapRate))/SumBase</f>
        <v>0.0377663930523971</v>
      </c>
      <c r="F14" s="29">
        <f>$C14-HedgeRatio*SUMPRODUCT(LoanN*Accr*((Fwd+$A14/10000*Mask)-CapStrike+ABS((Fwd+$A14/10000*Mask)-CapStrike))/2)/SumBase+CapPremium/Annuity1</f>
        <v>0.0374026901230155</v>
      </c>
      <c r="G14" s="29">
        <f>$C14-HedgeRatio*SUMPRODUCT(LoanN*Accr*(((Fwd+$A14/10000*Mask)-CapStrike+ABS((Fwd+$A14/10000*Mask)-CapStrike))/2-(CollarFloor-(Fwd+$A14/10000*Mask)+ABS(CollarFloor-(Fwd+$A14/10000*Mask)))/2))/SumBase</f>
        <v>0.035277171633632</v>
      </c>
      <c r="H14" s="29">
        <f>Budget</f>
        <v>0.04</v>
      </c>
    </row>
    <row r="15" spans="1:8">
      <c r="A15" s="22">
        <v>0</v>
      </c>
      <c r="B15" s="29">
        <f>SUMPRODUCT(LoanN*Accr*(Fwd+$A15/10000*Mask))/SumBase</f>
        <v>0.0226512132546616</v>
      </c>
      <c r="C15" s="29">
        <f>Margin+SUMPRODUCT(LoanN*Accr*((Fwd+$A15/10000*Mask)+FloorOn*(ABS((Fwd+$A15/10000*Mask))-(Fwd+$A15/10000*Mask))/2))/SumBase</f>
        <v>0.0376512132546616</v>
      </c>
      <c r="D15" s="29">
        <f>$C15-HedgeRatio*SUMPRODUCT(LoanN*Accr*((Fwd+$A15/10000*Mask)-SwapRate))/SumBase</f>
        <v>0.0375872038239138</v>
      </c>
      <c r="E15" s="29">
        <f>$C15-HedgeRatio*SUMPRODUCT(LoanN*Accr*(((Fwd+$A15/10000*Mask)+ABS((Fwd+$A15/10000*Mask)))/2-FSwapRate))/SumBase</f>
        <v>0.0377663930523971</v>
      </c>
      <c r="F15" s="29">
        <f>$C15-HedgeRatio*SUMPRODUCT(LoanN*Accr*((Fwd+$A15/10000*Mask)-CapStrike+ABS((Fwd+$A15/10000*Mask)-CapStrike))/2)/SumBase+CapPremium/Annuity1</f>
        <v>0.0397767317440451</v>
      </c>
      <c r="G15" s="29">
        <f>$C15-HedgeRatio*SUMPRODUCT(LoanN*Accr*(((Fwd+$A15/10000*Mask)-CapStrike+ABS((Fwd+$A15/10000*Mask)-CapStrike))/2-(CollarFloor-(Fwd+$A15/10000*Mask)+ABS(CollarFloor-(Fwd+$A15/10000*Mask)))/2))/SumBase</f>
        <v>0.0376512132546616</v>
      </c>
      <c r="H15" s="29">
        <f>Budget</f>
        <v>0.04</v>
      </c>
    </row>
    <row r="16" spans="1:8">
      <c r="A16" s="22">
        <v>25</v>
      </c>
      <c r="B16" s="29">
        <f>SUMPRODUCT(LoanN*Accr*(Fwd+$A16/10000*Mask))/SumBase</f>
        <v>0.0250252548756912</v>
      </c>
      <c r="C16" s="29">
        <f>Margin+SUMPRODUCT(LoanN*Accr*((Fwd+$A16/10000*Mask)+FloorOn*(ABS((Fwd+$A16/10000*Mask))-(Fwd+$A16/10000*Mask))/2))/SumBase</f>
        <v>0.0400252548756912</v>
      </c>
      <c r="D16" s="29">
        <f>$C16-HedgeRatio*SUMPRODUCT(LoanN*Accr*((Fwd+$A16/10000*Mask)-SwapRate))/SumBase</f>
        <v>0.0375872038239138</v>
      </c>
      <c r="E16" s="29">
        <f>$C16-HedgeRatio*SUMPRODUCT(LoanN*Accr*(((Fwd+$A16/10000*Mask)+ABS((Fwd+$A16/10000*Mask)))/2-FSwapRate))/SumBase</f>
        <v>0.0377663930523971</v>
      </c>
      <c r="F16" s="29">
        <f>$C16-HedgeRatio*SUMPRODUCT(LoanN*Accr*((Fwd+$A16/10000*Mask)-CapStrike+ABS((Fwd+$A16/10000*Mask)-CapStrike))/2)/SumBase+CapPremium/Annuity1</f>
        <v>0.0421507733650747</v>
      </c>
      <c r="G16" s="29">
        <f>$C16-HedgeRatio*SUMPRODUCT(LoanN*Accr*(((Fwd+$A16/10000*Mask)-CapStrike+ABS((Fwd+$A16/10000*Mask)-CapStrike))/2-(CollarFloor-(Fwd+$A16/10000*Mask)+ABS(CollarFloor-(Fwd+$A16/10000*Mask)))/2))/SumBase</f>
        <v>0.0400252548756912</v>
      </c>
      <c r="H16" s="29">
        <f>Budget</f>
        <v>0.04</v>
      </c>
    </row>
    <row r="17" spans="1:8">
      <c r="A17" s="22">
        <v>50</v>
      </c>
      <c r="B17" s="29">
        <f>SUMPRODUCT(LoanN*Accr*(Fwd+$A17/10000*Mask))/SumBase</f>
        <v>0.0273992964967208</v>
      </c>
      <c r="C17" s="29">
        <f>Margin+SUMPRODUCT(LoanN*Accr*((Fwd+$A17/10000*Mask)+FloorOn*(ABS((Fwd+$A17/10000*Mask))-(Fwd+$A17/10000*Mask))/2))/SumBase</f>
        <v>0.0423992964967208</v>
      </c>
      <c r="D17" s="29">
        <f>$C17-HedgeRatio*SUMPRODUCT(LoanN*Accr*((Fwd+$A17/10000*Mask)-SwapRate))/SumBase</f>
        <v>0.0375872038239138</v>
      </c>
      <c r="E17" s="29">
        <f>$C17-HedgeRatio*SUMPRODUCT(LoanN*Accr*(((Fwd+$A17/10000*Mask)+ABS((Fwd+$A17/10000*Mask)))/2-FSwapRate))/SumBase</f>
        <v>0.0377663930523971</v>
      </c>
      <c r="F17" s="29">
        <f>$C17-HedgeRatio*SUMPRODUCT(LoanN*Accr*((Fwd+$A17/10000*Mask)-CapStrike+ABS((Fwd+$A17/10000*Mask)-CapStrike))/2)/SumBase+CapPremium/Annuity1</f>
        <v>0.0444299204380216</v>
      </c>
      <c r="G17" s="29">
        <f>$C17-HedgeRatio*SUMPRODUCT(LoanN*Accr*(((Fwd+$A17/10000*Mask)-CapStrike+ABS((Fwd+$A17/10000*Mask)-CapStrike))/2-(CollarFloor-(Fwd+$A17/10000*Mask)+ABS(CollarFloor-(Fwd+$A17/10000*Mask)))/2))/SumBase</f>
        <v>0.0423044019486381</v>
      </c>
      <c r="H17" s="29">
        <f>Budget</f>
        <v>0.04</v>
      </c>
    </row>
    <row r="18" spans="1:8">
      <c r="A18" s="22">
        <v>75</v>
      </c>
      <c r="B18" s="29">
        <f>SUMPRODUCT(LoanN*Accr*(Fwd+$A18/10000*Mask))/SumBase</f>
        <v>0.0297733381177503</v>
      </c>
      <c r="C18" s="29">
        <f>Margin+SUMPRODUCT(LoanN*Accr*((Fwd+$A18/10000*Mask)+FloorOn*(ABS((Fwd+$A18/10000*Mask))-(Fwd+$A18/10000*Mask))/2))/SumBase</f>
        <v>0.0447733381177503</v>
      </c>
      <c r="D18" s="29">
        <f>$C18-HedgeRatio*SUMPRODUCT(LoanN*Accr*((Fwd+$A18/10000*Mask)-SwapRate))/SumBase</f>
        <v>0.0375872038239138</v>
      </c>
      <c r="E18" s="29">
        <f>$C18-HedgeRatio*SUMPRODUCT(LoanN*Accr*(((Fwd+$A18/10000*Mask)+ABS((Fwd+$A18/10000*Mask)))/2-FSwapRate))/SumBase</f>
        <v>0.0377663930523971</v>
      </c>
      <c r="F18" s="29">
        <f>$C18-HedgeRatio*SUMPRODUCT(LoanN*Accr*((Fwd+$A18/10000*Mask)-CapStrike+ABS((Fwd+$A18/10000*Mask)-CapStrike))/2)/SumBase+CapPremium/Annuity1</f>
        <v>0.0458844645563113</v>
      </c>
      <c r="G18" s="29">
        <f>$C18-HedgeRatio*SUMPRODUCT(LoanN*Accr*(((Fwd+$A18/10000*Mask)-CapStrike+ABS((Fwd+$A18/10000*Mask)-CapStrike))/2-(CollarFloor-(Fwd+$A18/10000*Mask)+ABS(CollarFloor-(Fwd+$A18/10000*Mask)))/2))/SumBase</f>
        <v>0.0437589460669278</v>
      </c>
      <c r="H18" s="29">
        <f>Budget</f>
        <v>0.04</v>
      </c>
    </row>
    <row r="19" spans="1:8">
      <c r="A19" s="22">
        <v>100</v>
      </c>
      <c r="B19" s="29">
        <f>SUMPRODUCT(LoanN*Accr*(Fwd+$A19/10000*Mask))/SumBase</f>
        <v>0.0321473797387799</v>
      </c>
      <c r="C19" s="29">
        <f>Margin+SUMPRODUCT(LoanN*Accr*((Fwd+$A19/10000*Mask)+FloorOn*(ABS((Fwd+$A19/10000*Mask))-(Fwd+$A19/10000*Mask))/2))/SumBase</f>
        <v>0.0471473797387799</v>
      </c>
      <c r="D19" s="29">
        <f>$C19-HedgeRatio*SUMPRODUCT(LoanN*Accr*((Fwd+$A19/10000*Mask)-SwapRate))/SumBase</f>
        <v>0.0375872038239138</v>
      </c>
      <c r="E19" s="29">
        <f>$C19-HedgeRatio*SUMPRODUCT(LoanN*Accr*(((Fwd+$A19/10000*Mask)+ABS((Fwd+$A19/10000*Mask)))/2-FSwapRate))/SumBase</f>
        <v>0.0377663930523971</v>
      </c>
      <c r="F19" s="29">
        <f>$C19-HedgeRatio*SUMPRODUCT(LoanN*Accr*((Fwd+$A19/10000*Mask)-CapStrike+ABS((Fwd+$A19/10000*Mask)-CapStrike))/2)/SumBase+CapPremium/Annuity1</f>
        <v>0.046597976018221</v>
      </c>
      <c r="G19" s="29">
        <f>$C19-HedgeRatio*SUMPRODUCT(LoanN*Accr*(((Fwd+$A19/10000*Mask)-CapStrike+ABS((Fwd+$A19/10000*Mask)-CapStrike))/2-(CollarFloor-(Fwd+$A19/10000*Mask)+ABS(CollarFloor-(Fwd+$A19/10000*Mask)))/2))/SumBase</f>
        <v>0.0444724575288375</v>
      </c>
      <c r="H19" s="29">
        <f>Budget</f>
        <v>0.04</v>
      </c>
    </row>
    <row r="20" spans="1:8">
      <c r="A20" s="22">
        <v>125</v>
      </c>
      <c r="B20" s="29">
        <f>SUMPRODUCT(LoanN*Accr*(Fwd+$A20/10000*Mask))/SumBase</f>
        <v>0.0345214213598095</v>
      </c>
      <c r="C20" s="29">
        <f>Margin+SUMPRODUCT(LoanN*Accr*((Fwd+$A20/10000*Mask)+FloorOn*(ABS((Fwd+$A20/10000*Mask))-(Fwd+$A20/10000*Mask))/2))/SumBase</f>
        <v>0.0495214213598095</v>
      </c>
      <c r="D20" s="29">
        <f>$C20-HedgeRatio*SUMPRODUCT(LoanN*Accr*((Fwd+$A20/10000*Mask)-SwapRate))/SumBase</f>
        <v>0.0375872038239138</v>
      </c>
      <c r="E20" s="29">
        <f>$C20-HedgeRatio*SUMPRODUCT(LoanN*Accr*(((Fwd+$A20/10000*Mask)+ABS((Fwd+$A20/10000*Mask)))/2-FSwapRate))/SumBase</f>
        <v>0.0377663930523971</v>
      </c>
      <c r="F20" s="29">
        <f>$C20-HedgeRatio*SUMPRODUCT(LoanN*Accr*((Fwd+$A20/10000*Mask)-CapStrike+ABS((Fwd+$A20/10000*Mask)-CapStrike))/2)/SumBase+CapPremium/Annuity1</f>
        <v>0.0466367999789782</v>
      </c>
      <c r="G20" s="29">
        <f>$C20-HedgeRatio*SUMPRODUCT(LoanN*Accr*(((Fwd+$A20/10000*Mask)-CapStrike+ABS((Fwd+$A20/10000*Mask)-CapStrike))/2-(CollarFloor-(Fwd+$A20/10000*Mask)+ABS(CollarFloor-(Fwd+$A20/10000*Mask)))/2))/SumBase</f>
        <v>0.0445112814895947</v>
      </c>
      <c r="H20" s="29">
        <f>Budget</f>
        <v>0.04</v>
      </c>
    </row>
    <row r="21" spans="1:8">
      <c r="A21" s="22">
        <v>150</v>
      </c>
      <c r="B21" s="29">
        <f>SUMPRODUCT(LoanN*Accr*(Fwd+$A21/10000*Mask))/SumBase</f>
        <v>0.036895462980839</v>
      </c>
      <c r="C21" s="29">
        <f>Margin+SUMPRODUCT(LoanN*Accr*((Fwd+$A21/10000*Mask)+FloorOn*(ABS((Fwd+$A21/10000*Mask))-(Fwd+$A21/10000*Mask))/2))/SumBase</f>
        <v>0.051895462980839</v>
      </c>
      <c r="D21" s="29">
        <f>$C21-HedgeRatio*SUMPRODUCT(LoanN*Accr*((Fwd+$A21/10000*Mask)-SwapRate))/SumBase</f>
        <v>0.0375872038239138</v>
      </c>
      <c r="E21" s="29">
        <f>$C21-HedgeRatio*SUMPRODUCT(LoanN*Accr*(((Fwd+$A21/10000*Mask)+ABS((Fwd+$A21/10000*Mask)))/2-FSwapRate))/SumBase</f>
        <v>0.0377663930523971</v>
      </c>
      <c r="F21" s="29">
        <f>$C21-HedgeRatio*SUMPRODUCT(LoanN*Accr*((Fwd+$A21/10000*Mask)-CapStrike+ABS((Fwd+$A21/10000*Mask)-CapStrike))/2)/SumBase+CapPremium/Annuity1</f>
        <v>0.0466367999789782</v>
      </c>
      <c r="G21" s="29">
        <f>$C21-HedgeRatio*SUMPRODUCT(LoanN*Accr*(((Fwd+$A21/10000*Mask)-CapStrike+ABS((Fwd+$A21/10000*Mask)-CapStrike))/2-(CollarFloor-(Fwd+$A21/10000*Mask)+ABS(CollarFloor-(Fwd+$A21/10000*Mask)))/2))/SumBase</f>
        <v>0.0445112814895947</v>
      </c>
      <c r="H21" s="29">
        <f>Budget</f>
        <v>0.04</v>
      </c>
    </row>
    <row r="22" spans="1:8">
      <c r="A22" s="22">
        <v>175</v>
      </c>
      <c r="B22" s="29">
        <f>SUMPRODUCT(LoanN*Accr*(Fwd+$A22/10000*Mask))/SumBase</f>
        <v>0.0392695046018686</v>
      </c>
      <c r="C22" s="29">
        <f>Margin+SUMPRODUCT(LoanN*Accr*((Fwd+$A22/10000*Mask)+FloorOn*(ABS((Fwd+$A22/10000*Mask))-(Fwd+$A22/10000*Mask))/2))/SumBase</f>
        <v>0.0542695046018686</v>
      </c>
      <c r="D22" s="29">
        <f>$C22-HedgeRatio*SUMPRODUCT(LoanN*Accr*((Fwd+$A22/10000*Mask)-SwapRate))/SumBase</f>
        <v>0.0375872038239138</v>
      </c>
      <c r="E22" s="29">
        <f>$C22-HedgeRatio*SUMPRODUCT(LoanN*Accr*(((Fwd+$A22/10000*Mask)+ABS((Fwd+$A22/10000*Mask)))/2-FSwapRate))/SumBase</f>
        <v>0.0377663930523971</v>
      </c>
      <c r="F22" s="29">
        <f>$C22-HedgeRatio*SUMPRODUCT(LoanN*Accr*((Fwd+$A22/10000*Mask)-CapStrike+ABS((Fwd+$A22/10000*Mask)-CapStrike))/2)/SumBase+CapPremium/Annuity1</f>
        <v>0.0466367999789782</v>
      </c>
      <c r="G22" s="29">
        <f>$C22-HedgeRatio*SUMPRODUCT(LoanN*Accr*(((Fwd+$A22/10000*Mask)-CapStrike+ABS((Fwd+$A22/10000*Mask)-CapStrike))/2-(CollarFloor-(Fwd+$A22/10000*Mask)+ABS(CollarFloor-(Fwd+$A22/10000*Mask)))/2))/SumBase</f>
        <v>0.0445112814895947</v>
      </c>
      <c r="H22" s="29">
        <f>Budget</f>
        <v>0.04</v>
      </c>
    </row>
    <row r="23" spans="1:8">
      <c r="A23" s="22">
        <v>200</v>
      </c>
      <c r="B23" s="29">
        <f>SUMPRODUCT(LoanN*Accr*(Fwd+$A23/10000*Mask))/SumBase</f>
        <v>0.0416435462228982</v>
      </c>
      <c r="C23" s="29">
        <f>Margin+SUMPRODUCT(LoanN*Accr*((Fwd+$A23/10000*Mask)+FloorOn*(ABS((Fwd+$A23/10000*Mask))-(Fwd+$A23/10000*Mask))/2))/SumBase</f>
        <v>0.0566435462228982</v>
      </c>
      <c r="D23" s="29">
        <f>$C23-HedgeRatio*SUMPRODUCT(LoanN*Accr*((Fwd+$A23/10000*Mask)-SwapRate))/SumBase</f>
        <v>0.0375872038239138</v>
      </c>
      <c r="E23" s="29">
        <f>$C23-HedgeRatio*SUMPRODUCT(LoanN*Accr*(((Fwd+$A23/10000*Mask)+ABS((Fwd+$A23/10000*Mask)))/2-FSwapRate))/SumBase</f>
        <v>0.0377663930523971</v>
      </c>
      <c r="F23" s="29">
        <f>$C23-HedgeRatio*SUMPRODUCT(LoanN*Accr*((Fwd+$A23/10000*Mask)-CapStrike+ABS((Fwd+$A23/10000*Mask)-CapStrike))/2)/SumBase+CapPremium/Annuity1</f>
        <v>0.0466367999789782</v>
      </c>
      <c r="G23" s="29">
        <f>$C23-HedgeRatio*SUMPRODUCT(LoanN*Accr*(((Fwd+$A23/10000*Mask)-CapStrike+ABS((Fwd+$A23/10000*Mask)-CapStrike))/2-(CollarFloor-(Fwd+$A23/10000*Mask)+ABS(CollarFloor-(Fwd+$A23/10000*Mask)))/2))/SumBase</f>
        <v>0.0445112814895947</v>
      </c>
      <c r="H23" s="29">
        <f>Budget</f>
        <v>0.04</v>
      </c>
    </row>
    <row r="24" spans="1:8">
      <c r="A24" s="22">
        <v>225</v>
      </c>
      <c r="B24" s="29">
        <f>SUMPRODUCT(LoanN*Accr*(Fwd+$A24/10000*Mask))/SumBase</f>
        <v>0.0440175878439278</v>
      </c>
      <c r="C24" s="29">
        <f>Margin+SUMPRODUCT(LoanN*Accr*((Fwd+$A24/10000*Mask)+FloorOn*(ABS((Fwd+$A24/10000*Mask))-(Fwd+$A24/10000*Mask))/2))/SumBase</f>
        <v>0.0590175878439278</v>
      </c>
      <c r="D24" s="29">
        <f>$C24-HedgeRatio*SUMPRODUCT(LoanN*Accr*((Fwd+$A24/10000*Mask)-SwapRate))/SumBase</f>
        <v>0.0375872038239138</v>
      </c>
      <c r="E24" s="29">
        <f>$C24-HedgeRatio*SUMPRODUCT(LoanN*Accr*(((Fwd+$A24/10000*Mask)+ABS((Fwd+$A24/10000*Mask)))/2-FSwapRate))/SumBase</f>
        <v>0.0377663930523971</v>
      </c>
      <c r="F24" s="29">
        <f>$C24-HedgeRatio*SUMPRODUCT(LoanN*Accr*((Fwd+$A24/10000*Mask)-CapStrike+ABS((Fwd+$A24/10000*Mask)-CapStrike))/2)/SumBase+CapPremium/Annuity1</f>
        <v>0.0466367999789782</v>
      </c>
      <c r="G24" s="29">
        <f>$C24-HedgeRatio*SUMPRODUCT(LoanN*Accr*(((Fwd+$A24/10000*Mask)-CapStrike+ABS((Fwd+$A24/10000*Mask)-CapStrike))/2-(CollarFloor-(Fwd+$A24/10000*Mask)+ABS(CollarFloor-(Fwd+$A24/10000*Mask)))/2))/SumBase</f>
        <v>0.0445112814895947</v>
      </c>
      <c r="H24" s="29">
        <f>Budget</f>
        <v>0.04</v>
      </c>
    </row>
    <row r="25" spans="1:8">
      <c r="A25" s="22">
        <v>250</v>
      </c>
      <c r="B25" s="29">
        <f>SUMPRODUCT(LoanN*Accr*(Fwd+$A25/10000*Mask))/SumBase</f>
        <v>0.0463916294649573</v>
      </c>
      <c r="C25" s="29">
        <f>Margin+SUMPRODUCT(LoanN*Accr*((Fwd+$A25/10000*Mask)+FloorOn*(ABS((Fwd+$A25/10000*Mask))-(Fwd+$A25/10000*Mask))/2))/SumBase</f>
        <v>0.0613916294649573</v>
      </c>
      <c r="D25" s="29">
        <f>$C25-HedgeRatio*SUMPRODUCT(LoanN*Accr*((Fwd+$A25/10000*Mask)-SwapRate))/SumBase</f>
        <v>0.0375872038239138</v>
      </c>
      <c r="E25" s="29">
        <f>$C25-HedgeRatio*SUMPRODUCT(LoanN*Accr*(((Fwd+$A25/10000*Mask)+ABS((Fwd+$A25/10000*Mask)))/2-FSwapRate))/SumBase</f>
        <v>0.0377663930523971</v>
      </c>
      <c r="F25" s="29">
        <f>$C25-HedgeRatio*SUMPRODUCT(LoanN*Accr*((Fwd+$A25/10000*Mask)-CapStrike+ABS((Fwd+$A25/10000*Mask)-CapStrike))/2)/SumBase+CapPremium/Annuity1</f>
        <v>0.0466367999789783</v>
      </c>
      <c r="G25" s="29">
        <f>$C25-HedgeRatio*SUMPRODUCT(LoanN*Accr*(((Fwd+$A25/10000*Mask)-CapStrike+ABS((Fwd+$A25/10000*Mask)-CapStrike))/2-(CollarFloor-(Fwd+$A25/10000*Mask)+ABS(CollarFloor-(Fwd+$A25/10000*Mask)))/2))/SumBase</f>
        <v>0.0445112814895947</v>
      </c>
      <c r="H25" s="29">
        <f>Budget</f>
        <v>0.04</v>
      </c>
    </row>
    <row r="26" spans="1:8">
      <c r="A26" s="22">
        <v>275</v>
      </c>
      <c r="B26" s="29">
        <f>SUMPRODUCT(LoanN*Accr*(Fwd+$A26/10000*Mask))/SumBase</f>
        <v>0.0487656710859869</v>
      </c>
      <c r="C26" s="29">
        <f>Margin+SUMPRODUCT(LoanN*Accr*((Fwd+$A26/10000*Mask)+FloorOn*(ABS((Fwd+$A26/10000*Mask))-(Fwd+$A26/10000*Mask))/2))/SumBase</f>
        <v>0.0637656710859869</v>
      </c>
      <c r="D26" s="29">
        <f>$C26-HedgeRatio*SUMPRODUCT(LoanN*Accr*((Fwd+$A26/10000*Mask)-SwapRate))/SumBase</f>
        <v>0.0375872038239138</v>
      </c>
      <c r="E26" s="29">
        <f>$C26-HedgeRatio*SUMPRODUCT(LoanN*Accr*(((Fwd+$A26/10000*Mask)+ABS((Fwd+$A26/10000*Mask)))/2-FSwapRate))/SumBase</f>
        <v>0.0377663930523971</v>
      </c>
      <c r="F26" s="29">
        <f>$C26-HedgeRatio*SUMPRODUCT(LoanN*Accr*((Fwd+$A26/10000*Mask)-CapStrike+ABS((Fwd+$A26/10000*Mask)-CapStrike))/2)/SumBase+CapPremium/Annuity1</f>
        <v>0.0466367999789783</v>
      </c>
      <c r="G26" s="29">
        <f>$C26-HedgeRatio*SUMPRODUCT(LoanN*Accr*(((Fwd+$A26/10000*Mask)-CapStrike+ABS((Fwd+$A26/10000*Mask)-CapStrike))/2-(CollarFloor-(Fwd+$A26/10000*Mask)+ABS(CollarFloor-(Fwd+$A26/10000*Mask)))/2))/SumBase</f>
        <v>0.0445112814895948</v>
      </c>
      <c r="H26" s="29">
        <f>Budget</f>
        <v>0.04</v>
      </c>
    </row>
    <row r="27" spans="1:8">
      <c r="A27" s="22">
        <v>300</v>
      </c>
      <c r="B27" s="29">
        <f>SUMPRODUCT(LoanN*Accr*(Fwd+$A27/10000*Mask))/SumBase</f>
        <v>0.0511397127070165</v>
      </c>
      <c r="C27" s="29">
        <f>Margin+SUMPRODUCT(LoanN*Accr*((Fwd+$A27/10000*Mask)+FloorOn*(ABS((Fwd+$A27/10000*Mask))-(Fwd+$A27/10000*Mask))/2))/SumBase</f>
        <v>0.0661397127070165</v>
      </c>
      <c r="D27" s="29">
        <f>$C27-HedgeRatio*SUMPRODUCT(LoanN*Accr*((Fwd+$A27/10000*Mask)-SwapRate))/SumBase</f>
        <v>0.0375872038239138</v>
      </c>
      <c r="E27" s="29">
        <f>$C27-HedgeRatio*SUMPRODUCT(LoanN*Accr*(((Fwd+$A27/10000*Mask)+ABS((Fwd+$A27/10000*Mask)))/2-FSwapRate))/SumBase</f>
        <v>0.0377663930523971</v>
      </c>
      <c r="F27" s="29">
        <f>$C27-HedgeRatio*SUMPRODUCT(LoanN*Accr*((Fwd+$A27/10000*Mask)-CapStrike+ABS((Fwd+$A27/10000*Mask)-CapStrike))/2)/SumBase+CapPremium/Annuity1</f>
        <v>0.0466367999789783</v>
      </c>
      <c r="G27" s="29">
        <f>$C27-HedgeRatio*SUMPRODUCT(LoanN*Accr*(((Fwd+$A27/10000*Mask)-CapStrike+ABS((Fwd+$A27/10000*Mask)-CapStrike))/2-(CollarFloor-(Fwd+$A27/10000*Mask)+ABS(CollarFloor-(Fwd+$A27/10000*Mask)))/2))/SumBase</f>
        <v>0.0445112814895947</v>
      </c>
      <c r="H27" s="29">
        <f>Budget</f>
        <v>0.04</v>
      </c>
    </row>
    <row r="28" spans="1:8">
      <c r="A28" s="22">
        <v>325</v>
      </c>
      <c r="B28" s="29">
        <f>SUMPRODUCT(LoanN*Accr*(Fwd+$A28/10000*Mask))/SumBase</f>
        <v>0.053513754328046</v>
      </c>
      <c r="C28" s="29">
        <f>Margin+SUMPRODUCT(LoanN*Accr*((Fwd+$A28/10000*Mask)+FloorOn*(ABS((Fwd+$A28/10000*Mask))-(Fwd+$A28/10000*Mask))/2))/SumBase</f>
        <v>0.068513754328046</v>
      </c>
      <c r="D28" s="29">
        <f>$C28-HedgeRatio*SUMPRODUCT(LoanN*Accr*((Fwd+$A28/10000*Mask)-SwapRate))/SumBase</f>
        <v>0.0375872038239138</v>
      </c>
      <c r="E28" s="29">
        <f>$C28-HedgeRatio*SUMPRODUCT(LoanN*Accr*(((Fwd+$A28/10000*Mask)+ABS((Fwd+$A28/10000*Mask)))/2-FSwapRate))/SumBase</f>
        <v>0.0377663930523971</v>
      </c>
      <c r="F28" s="29">
        <f>$C28-HedgeRatio*SUMPRODUCT(LoanN*Accr*((Fwd+$A28/10000*Mask)-CapStrike+ABS((Fwd+$A28/10000*Mask)-CapStrike))/2)/SumBase+CapPremium/Annuity1</f>
        <v>0.0466367999789782</v>
      </c>
      <c r="G28" s="29">
        <f>$C28-HedgeRatio*SUMPRODUCT(LoanN*Accr*(((Fwd+$A28/10000*Mask)-CapStrike+ABS((Fwd+$A28/10000*Mask)-CapStrike))/2-(CollarFloor-(Fwd+$A28/10000*Mask)+ABS(CollarFloor-(Fwd+$A28/10000*Mask)))/2))/SumBase</f>
        <v>0.0445112814895947</v>
      </c>
      <c r="H28" s="29">
        <f>Budget</f>
        <v>0.04</v>
      </c>
    </row>
    <row r="29" spans="1:8">
      <c r="A29" s="22">
        <v>350</v>
      </c>
      <c r="B29" s="29">
        <f>SUMPRODUCT(LoanN*Accr*(Fwd+$A29/10000*Mask))/SumBase</f>
        <v>0.0558877959490756</v>
      </c>
      <c r="C29" s="29">
        <f>Margin+SUMPRODUCT(LoanN*Accr*((Fwd+$A29/10000*Mask)+FloorOn*(ABS((Fwd+$A29/10000*Mask))-(Fwd+$A29/10000*Mask))/2))/SumBase</f>
        <v>0.0708877959490756</v>
      </c>
      <c r="D29" s="29">
        <f>$C29-HedgeRatio*SUMPRODUCT(LoanN*Accr*((Fwd+$A29/10000*Mask)-SwapRate))/SumBase</f>
        <v>0.0375872038239138</v>
      </c>
      <c r="E29" s="29">
        <f>$C29-HedgeRatio*SUMPRODUCT(LoanN*Accr*(((Fwd+$A29/10000*Mask)+ABS((Fwd+$A29/10000*Mask)))/2-FSwapRate))/SumBase</f>
        <v>0.0377663930523971</v>
      </c>
      <c r="F29" s="29">
        <f>$C29-HedgeRatio*SUMPRODUCT(LoanN*Accr*((Fwd+$A29/10000*Mask)-CapStrike+ABS((Fwd+$A29/10000*Mask)-CapStrike))/2)/SumBase+CapPremium/Annuity1</f>
        <v>0.0466367999789783</v>
      </c>
      <c r="G29" s="29">
        <f>$C29-HedgeRatio*SUMPRODUCT(LoanN*Accr*(((Fwd+$A29/10000*Mask)-CapStrike+ABS((Fwd+$A29/10000*Mask)-CapStrike))/2-(CollarFloor-(Fwd+$A29/10000*Mask)+ABS(CollarFloor-(Fwd+$A29/10000*Mask)))/2))/SumBase</f>
        <v>0.0445112814895947</v>
      </c>
      <c r="H29" s="29">
        <f>Budget</f>
        <v>0.04</v>
      </c>
    </row>
    <row r="30" spans="1:8">
      <c r="A30" s="22">
        <v>375</v>
      </c>
      <c r="B30" s="29">
        <f>SUMPRODUCT(LoanN*Accr*(Fwd+$A30/10000*Mask))/SumBase</f>
        <v>0.0582618375701052</v>
      </c>
      <c r="C30" s="29">
        <f>Margin+SUMPRODUCT(LoanN*Accr*((Fwd+$A30/10000*Mask)+FloorOn*(ABS((Fwd+$A30/10000*Mask))-(Fwd+$A30/10000*Mask))/2))/SumBase</f>
        <v>0.0732618375701052</v>
      </c>
      <c r="D30" s="29">
        <f>$C30-HedgeRatio*SUMPRODUCT(LoanN*Accr*((Fwd+$A30/10000*Mask)-SwapRate))/SumBase</f>
        <v>0.0375872038239138</v>
      </c>
      <c r="E30" s="29">
        <f>$C30-HedgeRatio*SUMPRODUCT(LoanN*Accr*(((Fwd+$A30/10000*Mask)+ABS((Fwd+$A30/10000*Mask)))/2-FSwapRate))/SumBase</f>
        <v>0.0377663930523971</v>
      </c>
      <c r="F30" s="29">
        <f>$C30-HedgeRatio*SUMPRODUCT(LoanN*Accr*((Fwd+$A30/10000*Mask)-CapStrike+ABS((Fwd+$A30/10000*Mask)-CapStrike))/2)/SumBase+CapPremium/Annuity1</f>
        <v>0.0466367999789782</v>
      </c>
      <c r="G30" s="29">
        <f>$C30-HedgeRatio*SUMPRODUCT(LoanN*Accr*(((Fwd+$A30/10000*Mask)-CapStrike+ABS((Fwd+$A30/10000*Mask)-CapStrike))/2-(CollarFloor-(Fwd+$A30/10000*Mask)+ABS(CollarFloor-(Fwd+$A30/10000*Mask)))/2))/SumBase</f>
        <v>0.0445112814895947</v>
      </c>
      <c r="H30" s="29">
        <f>Budget</f>
        <v>0.04</v>
      </c>
    </row>
    <row r="31" spans="1:8">
      <c r="A31" s="22">
        <v>400</v>
      </c>
      <c r="B31" s="29">
        <f>SUMPRODUCT(LoanN*Accr*(Fwd+$A31/10000*Mask))/SumBase</f>
        <v>0.0606358791911348</v>
      </c>
      <c r="C31" s="29">
        <f>Margin+SUMPRODUCT(LoanN*Accr*((Fwd+$A31/10000*Mask)+FloorOn*(ABS((Fwd+$A31/10000*Mask))-(Fwd+$A31/10000*Mask))/2))/SumBase</f>
        <v>0.0756358791911348</v>
      </c>
      <c r="D31" s="29">
        <f>$C31-HedgeRatio*SUMPRODUCT(LoanN*Accr*((Fwd+$A31/10000*Mask)-SwapRate))/SumBase</f>
        <v>0.0375872038239138</v>
      </c>
      <c r="E31" s="29">
        <f>$C31-HedgeRatio*SUMPRODUCT(LoanN*Accr*(((Fwd+$A31/10000*Mask)+ABS((Fwd+$A31/10000*Mask)))/2-FSwapRate))/SumBase</f>
        <v>0.0377663930523971</v>
      </c>
      <c r="F31" s="29">
        <f>$C31-HedgeRatio*SUMPRODUCT(LoanN*Accr*((Fwd+$A31/10000*Mask)-CapStrike+ABS((Fwd+$A31/10000*Mask)-CapStrike))/2)/SumBase+CapPremium/Annuity1</f>
        <v>0.0466367999789782</v>
      </c>
      <c r="G31" s="29">
        <f>$C31-HedgeRatio*SUMPRODUCT(LoanN*Accr*(((Fwd+$A31/10000*Mask)-CapStrike+ABS((Fwd+$A31/10000*Mask)-CapStrike))/2-(CollarFloor-(Fwd+$A31/10000*Mask)+ABS(CollarFloor-(Fwd+$A31/10000*Mask)))/2))/SumBase</f>
        <v>0.0445112814895947</v>
      </c>
      <c r="H31" s="29">
        <f>Budget</f>
        <v>0.04</v>
      </c>
    </row>
    <row r="33" spans="1:1">
      <c r="A33" s="2" t="s">
        <v>113</v>
      </c>
    </row>
  </sheetData>
  <pageMargins left="0.4" right="0.4" top="0.5" bottom="0.5" header="0.3" footer="0.3"/>
  <pageSetup paperSize="9" fitToHeight="0" orientation="landscape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pageSetUpPr fitToPage="1"/>
  </sheetPr>
  <dimension ref="A1:J48"/>
  <sheetViews>
    <sheetView showGridLines="0" workbookViewId="0"/>
  </sheetViews>
  <sheetFormatPr defaultRowHeight="15"/>
  <cols>
    <col min="1" max="1" width="30.7109375" customWidth="1"/>
    <col min="2" max="6" width="16.7109375" customWidth="1"/>
    <col min="7" max="7" width="3.7109375" customWidth="1"/>
    <col min="8" max="10" width="14.7109375" customWidth="1"/>
  </cols>
  <sheetData>
    <row r="1" spans="1:6">
      <c r="A1" s="19" t="s">
        <v>114</v>
      </c>
    </row>
    <row r="3" spans="1:6">
      <c r="A3" s="5" t="s">
        <v>115</v>
      </c>
    </row>
    <row r="4" spans="1:6">
      <c r="A4" s="5" t="s">
        <v>93</v>
      </c>
      <c r="B4" s="25">
        <f>Notional</f>
        <v>50000000</v>
      </c>
    </row>
    <row r="5" spans="1:6">
      <c r="A5" s="5" t="s">
        <v>116</v>
      </c>
      <c r="B5" s="22">
        <f>Years*12</f>
        <v>60</v>
      </c>
    </row>
    <row r="6" spans="1:6">
      <c r="A6" s="5" t="s">
        <v>117</v>
      </c>
      <c r="B6" s="22">
        <f>Linear</f>
        <v>0</v>
      </c>
    </row>
    <row r="7" spans="1:6">
      <c r="A7" s="5" t="s">
        <v>42</v>
      </c>
      <c r="B7" s="30">
        <f>HedgeRatio</f>
        <v>1</v>
      </c>
    </row>
    <row r="10" spans="1:6" ht="32" customHeight="1">
      <c r="A10" s="9" t="s">
        <v>80</v>
      </c>
      <c r="B10" s="9" t="s">
        <v>118</v>
      </c>
      <c r="C10" s="9" t="s">
        <v>119</v>
      </c>
      <c r="D10" s="9" t="s">
        <v>120</v>
      </c>
      <c r="E10" s="9" t="s">
        <v>121</v>
      </c>
      <c r="F10" s="9" t="s">
        <v>122</v>
      </c>
    </row>
    <row r="11" spans="1:6">
      <c r="A11" s="11" t="s">
        <v>73</v>
      </c>
      <c r="B11" s="13">
        <f>IR_PV("SWAP",SwapRate,0,MktData,DealData,MktShift,VolShift,0)</f>
        <v>-2.18278728425503e-10</v>
      </c>
      <c r="C11" s="13">
        <f>(IR_PV("SWAP",SwapRate,0,MktData,DealData,MktShift+1,VolShift,0)-IR_PV("SWAP",SwapRate,0,MktData,DealData,MktShift-1,VolShift,0))/2</f>
        <v>23307.4512015059</v>
      </c>
      <c r="D11" s="13">
        <f>IR_PV("SWAP",SwapRate,0,MktData,DealData,MktShift,VolShift+1,0)-B11</f>
        <v>0</v>
      </c>
      <c r="E11" s="13">
        <f>IR_PV("SWAP",SwapRate,0,MktData,DealData,MktShift-100,VolShift,0)</f>
        <v>-2400887.75634799</v>
      </c>
      <c r="F11" s="13">
        <f>IR_PV("SWAP",SwapRate,0,MktData,DealData,MktShift+100,VolShift,0)</f>
        <v>2263761.0047804</v>
      </c>
    </row>
    <row r="12" spans="1:6">
      <c r="A12" s="11" t="s">
        <v>74</v>
      </c>
      <c r="B12" s="13">
        <f>IR_PV("FSWAP",FSwapRate,0,MktData,DealData,MktShift,VolShift,0)</f>
        <v>-5.74800651520491e-10</v>
      </c>
      <c r="C12" s="13">
        <f>(IR_PV("FSWAP",FSwapRate,0,MktData,DealData,MktShift+1,VolShift,0)-IR_PV("FSWAP",FSwapRate,0,MktData,DealData,MktShift-1,VolShift,0))/2</f>
        <v>22602.4359279941</v>
      </c>
      <c r="D12" s="13">
        <f>IR_PV("FSWAP",FSwapRate,0,MktData,DealData,MktShift,VolShift+1,0)-B12</f>
        <v>2789.67184747011</v>
      </c>
      <c r="E12" s="13">
        <f>IR_PV("FSWAP",FSwapRate,0,MktData,DealData,MktShift-100,VolShift,0)</f>
        <v>-2239381.81942636</v>
      </c>
      <c r="F12" s="13">
        <f>IR_PV("FSWAP",FSwapRate,0,MktData,DealData,MktShift+100,VolShift,0)</f>
        <v>2229151.42411736</v>
      </c>
    </row>
    <row r="13" spans="1:6">
      <c r="A13" s="11" t="s">
        <v>75</v>
      </c>
      <c r="B13" s="13">
        <f>IR_PV("CAP",CapStrike,0,MktData,DealData,MktShift,VolShift,0)</f>
        <v>511065.76139702</v>
      </c>
      <c r="C13" s="13">
        <f>(IR_PV("CAP",CapStrike,0,MktData,DealData,MktShift+1,VolShift,0)-IR_PV("CAP",CapStrike,0,MktData,DealData,MktShift-1,VolShift,0))/2</f>
        <v>5326.17231272967</v>
      </c>
      <c r="D13" s="13">
        <f>IR_PV("CAP",CapStrike,0,MktData,DealData,MktShift,VolShift+1,0)-B13</f>
        <v>10982.2185274548</v>
      </c>
      <c r="E13" s="13">
        <f>IR_PV("CAP",CapStrike,0,MktData,DealData,MktShift-100,VolShift,0)</f>
        <v>163581.204142788</v>
      </c>
      <c r="F13" s="13">
        <f>IR_PV("CAP",CapStrike,0,MktData,DealData,MktShift+100,VolShift,0)</f>
        <v>1332676.60569221</v>
      </c>
    </row>
    <row r="14" spans="1:6">
      <c r="A14" s="11" t="s">
        <v>76</v>
      </c>
      <c r="B14" s="13">
        <f>IR_PV("COLLAR",CapStrike,CollarFloor,MktData,DealData,MktShift,VolShift,0)</f>
        <v>-7.82834831625223e-07</v>
      </c>
      <c r="C14" s="13">
        <f>(IR_PV("COLLAR",CapStrike,CollarFloor,MktData,DealData,MktShift+1,VolShift,0)-IR_PV("COLLAR",CapStrike,CollarFloor,MktData,DealData,MktShift-1,VolShift,0))/2</f>
        <v>12060.8317480721</v>
      </c>
      <c r="D14" s="13">
        <f>IR_PV("COLLAR",CapStrike,CollarFloor,MktData,DealData,MktShift,VolShift+1,0)-B14</f>
        <v>-826.443466514698</v>
      </c>
      <c r="E14" s="13">
        <f>IR_PV("COLLAR",CapStrike,CollarFloor,MktData,DealData,MktShift-100,VolShift,0)</f>
        <v>-1529403.87115512</v>
      </c>
      <c r="F14" s="13">
        <f>IR_PV("COLLAR",CapStrike,CollarFloor,MktData,DealData,MktShift+100,VolShift,0)</f>
        <v>1209087.86231822</v>
      </c>
    </row>
    <row r="15" spans="1:6">
      <c r="A15" s="2" t="s">
        <v>123</v>
      </c>
    </row>
    <row r="17" spans="1:10" ht="32" customHeight="1">
      <c r="A17" s="9" t="s">
        <v>124</v>
      </c>
      <c r="B17" s="9" t="s">
        <v>73</v>
      </c>
      <c r="C17" s="9" t="s">
        <v>74</v>
      </c>
      <c r="D17" s="9" t="s">
        <v>75</v>
      </c>
      <c r="E17" s="9" t="s">
        <v>76</v>
      </c>
      <c r="H17" s="9" t="s">
        <v>125</v>
      </c>
      <c r="I17" s="9" t="s">
        <v>4</v>
      </c>
      <c r="J17" s="9" t="s">
        <v>126</v>
      </c>
    </row>
    <row r="18" spans="1:10">
      <c r="A18" s="22">
        <v>-200</v>
      </c>
      <c r="B18" s="25">
        <f>IR_PV("SWAP",SwapRate,0,MktData,DealData,MktShift+$A18,VolShift,0)</f>
        <v>-4948767.9041476</v>
      </c>
      <c r="C18" s="25">
        <f>IR_PV("FSWAP",FSwapRate,0,MktData,DealData,MktShift+$A18,VolShift,0)</f>
        <v>-4191892.74099639</v>
      </c>
      <c r="D18" s="25">
        <f>IR_PV("CAP",CapStrike,0,MktData,DealData,MktShift+$A18,VolShift,0)</f>
        <v>42274.4903777172</v>
      </c>
      <c r="E18" s="25">
        <f>IR_PV("COLLAR",CapStrike,CollarFloor,MktData,DealData,MktShift+$A18,VolShift,0)</f>
        <v>-3638083.4644588</v>
      </c>
      <c r="H18" s="5" t="str">
        <f>IF(Market!$B$23="","",Market!$B$23)</f>
        <v>1Y</v>
      </c>
      <c r="I18" s="22">
        <f>IF(Market!$C$23="","",Market!$C$23)</f>
        <v>12</v>
      </c>
      <c r="J18" s="25">
        <f>IF(I18="","",IR_PV("SWAP",SwapRate,0,MktData,DealData,MktShift,VolShift,I18)-$B$11)</f>
        <v>7.37782102078199e-09</v>
      </c>
    </row>
    <row r="19" spans="1:10">
      <c r="A19" s="22">
        <v>-175</v>
      </c>
      <c r="B19" s="25">
        <f>IR_PV("SWAP",SwapRate,0,MktData,DealData,MktShift+$A19,VolShift,0)</f>
        <v>-4297447.60416512</v>
      </c>
      <c r="C19" s="25">
        <f>IR_PV("FSWAP",FSwapRate,0,MktData,DealData,MktShift+$A19,VolShift,0)</f>
        <v>-3758954.22137723</v>
      </c>
      <c r="D19" s="25">
        <f>IR_PV("CAP",CapStrike,0,MktData,DealData,MktShift+$A19,VolShift,0)</f>
        <v>60583.4631098272</v>
      </c>
      <c r="E19" s="25">
        <f>IR_PV("COLLAR",CapStrike,CollarFloor,MktData,DealData,MktShift+$A19,VolShift,0)</f>
        <v>-3068295.16021565</v>
      </c>
      <c r="H19" s="5" t="str">
        <f>IF(Market!$B$24="","",Market!$B$24)</f>
        <v>2Y</v>
      </c>
      <c r="I19" s="22">
        <f>IF(Market!$C$24="","",Market!$C$24)</f>
        <v>24</v>
      </c>
      <c r="J19" s="25">
        <f>IF(I19="","",IR_PV("SWAP",SwapRate,0,MktData,DealData,MktShift,VolShift,I19)-$B$11)</f>
        <v>7.42147676646709e-10</v>
      </c>
    </row>
    <row r="20" spans="1:10">
      <c r="A20" s="22">
        <v>-150</v>
      </c>
      <c r="B20" s="25">
        <f>IR_PV("SWAP",SwapRate,0,MktData,DealData,MktShift+$A20,VolShift,0)</f>
        <v>-3655805.94588431</v>
      </c>
      <c r="C20" s="25">
        <f>IR_PV("FSWAP",FSwapRate,0,MktData,DealData,MktShift+$A20,VolShift,0)</f>
        <v>-3282954.48215056</v>
      </c>
      <c r="D20" s="25">
        <f>IR_PV("CAP",CapStrike,0,MktData,DealData,MktShift+$A20,VolShift,0)</f>
        <v>85560.5154161047</v>
      </c>
      <c r="E20" s="25">
        <f>IR_PV("COLLAR",CapStrike,CollarFloor,MktData,DealData,MktShift+$A20,VolShift,0)</f>
        <v>-2525223.11958942</v>
      </c>
      <c r="H20" s="5" t="str">
        <f>IF(Market!$B$25="","",Market!$B$25)</f>
        <v>3Y</v>
      </c>
      <c r="I20" s="22">
        <f>IF(Market!$C$25="","",Market!$C$25)</f>
        <v>36</v>
      </c>
      <c r="J20" s="25">
        <f>IF(I20="","",IR_PV("SWAP",SwapRate,0,MktData,DealData,MktShift,VolShift,I20)-$B$11)</f>
        <v>4.54019755125046e-09</v>
      </c>
    </row>
    <row r="21" spans="1:10">
      <c r="A21" s="22">
        <v>-125</v>
      </c>
      <c r="B21" s="25">
        <f>IR_PV("SWAP",SwapRate,0,MktData,DealData,MktShift+$A21,VolShift,0)</f>
        <v>-3023674.39116625</v>
      </c>
      <c r="C21" s="25">
        <f>IR_PV("FSWAP",FSwapRate,0,MktData,DealData,MktShift+$A21,VolShift,0)</f>
        <v>-2773245.9719065</v>
      </c>
      <c r="D21" s="25">
        <f>IR_PV("CAP",CapStrike,0,MktData,DealData,MktShift+$A21,VolShift,0)</f>
        <v>119126.015999075</v>
      </c>
      <c r="E21" s="25">
        <f>IR_PV("COLLAR",CapStrike,CollarFloor,MktData,DealData,MktShift+$A21,VolShift,0)</f>
        <v>-2011367.40062838</v>
      </c>
      <c r="H21" s="5" t="str">
        <f>IF(Market!$B$26="","",Market!$B$26)</f>
        <v>4Y</v>
      </c>
      <c r="I21" s="22">
        <f>IF(Market!$C$26="","",Market!$C$26)</f>
        <v>48</v>
      </c>
      <c r="J21" s="25">
        <f>IF(I21="","",IR_PV("SWAP",SwapRate,0,MktData,DealData,MktShift,VolShift,I21)-$B$11)</f>
        <v>-9.18953446671367e-09</v>
      </c>
    </row>
    <row r="22" spans="1:10">
      <c r="A22" s="22">
        <v>-100</v>
      </c>
      <c r="B22" s="25">
        <f>IR_PV("SWAP",SwapRate,0,MktData,DealData,MktShift+$A22,VolShift,0)</f>
        <v>-2400887.75634799</v>
      </c>
      <c r="C22" s="25">
        <f>IR_PV("FSWAP",FSwapRate,0,MktData,DealData,MktShift+$A22,VolShift,0)</f>
        <v>-2239381.81942636</v>
      </c>
      <c r="D22" s="25">
        <f>IR_PV("CAP",CapStrike,0,MktData,DealData,MktShift+$A22,VolShift,0)</f>
        <v>163581.204142788</v>
      </c>
      <c r="E22" s="25">
        <f>IR_PV("COLLAR",CapStrike,CollarFloor,MktData,DealData,MktShift+$A22,VolShift,0)</f>
        <v>-1529403.87115512</v>
      </c>
      <c r="H22" s="5" t="str">
        <f>IF(Market!$B$27="","",Market!$B$27)</f>
        <v>5Y</v>
      </c>
      <c r="I22" s="22">
        <f>IF(Market!$C$27="","",Market!$C$27)</f>
        <v>60</v>
      </c>
      <c r="J22" s="25">
        <f>IF(I22="","",IR_PV("SWAP",SwapRate,0,MktData,DealData,MktShift,VolShift,I22)-$B$11)</f>
        <v>23510.5284226674</v>
      </c>
    </row>
    <row r="23" spans="1:10">
      <c r="A23" s="22">
        <v>-75</v>
      </c>
      <c r="B23" s="25">
        <f>IR_PV("SWAP",SwapRate,0,MktData,DealData,MktShift+$A23,VolShift,0)</f>
        <v>-1787284.13722155</v>
      </c>
      <c r="C23" s="25">
        <f>IR_PV("FSWAP",FSwapRate,0,MktData,DealData,MktShift+$A23,VolShift,0)</f>
        <v>-1689460.07130572</v>
      </c>
      <c r="D23" s="25">
        <f>IR_PV("CAP",CapStrike,0,MktData,DealData,MktShift+$A23,VolShift,0)</f>
        <v>221637.142941136</v>
      </c>
      <c r="E23" s="25">
        <f>IR_PV("COLLAR",CapStrike,CollarFloor,MktData,DealData,MktShift+$A23,VolShift,0)</f>
        <v>-1082093.65618103</v>
      </c>
      <c r="H23" s="5" t="str">
        <f>IF(Market!$B$28="","",Market!$B$28)</f>
        <v>6Y</v>
      </c>
      <c r="I23" s="22">
        <f>IF(Market!$C$28="","",Market!$C$28)</f>
        <v>72</v>
      </c>
      <c r="J23" s="25">
        <f>IF(I23="","",IR_PV("SWAP",SwapRate,0,MktData,DealData,MktShift,VolShift,I23)-$B$11)</f>
        <v>0</v>
      </c>
    </row>
    <row r="24" spans="1:10">
      <c r="A24" s="22">
        <v>-50</v>
      </c>
      <c r="B24" s="25">
        <f>IR_PV("SWAP",SwapRate,0,MktData,DealData,MktShift+$A24,VolShift,0)</f>
        <v>-1182704.83587385</v>
      </c>
      <c r="C24" s="25">
        <f>IR_PV("FSWAP",FSwapRate,0,MktData,DealData,MktShift+$A24,VolShift,0)</f>
        <v>-1129862.19666629</v>
      </c>
      <c r="D24" s="25">
        <f>IR_PV("CAP",CapStrike,0,MktData,DealData,MktShift+$A24,VolShift,0)</f>
        <v>296436.124112293</v>
      </c>
      <c r="E24" s="25">
        <f>IR_PV("COLLAR",CapStrike,CollarFloor,MktData,DealData,MktShift+$A24,VolShift,0)</f>
        <v>-671465.571081507</v>
      </c>
      <c r="H24" s="5" t="str">
        <f>IF(Market!$B$29="","",Market!$B$29)</f>
        <v>7Y</v>
      </c>
      <c r="I24" s="22">
        <f>IF(Market!$C$29="","",Market!$C$29)</f>
        <v>84</v>
      </c>
      <c r="J24" s="25">
        <f>IF(I24="","",IR_PV("SWAP",SwapRate,0,MktData,DealData,MktShift,VolShift,I24)-$B$11)</f>
        <v>0</v>
      </c>
    </row>
    <row r="25" spans="1:10">
      <c r="A25" s="22">
        <v>-25</v>
      </c>
      <c r="B25" s="25">
        <f>IR_PV("SWAP",SwapRate,0,MktData,DealData,MktShift+$A25,VolShift,0)</f>
        <v>-586994.289337028</v>
      </c>
      <c r="C25" s="25">
        <f>IR_PV("FSWAP",FSwapRate,0,MktData,DealData,MktShift+$A25,VolShift,0)</f>
        <v>-565482.443214502</v>
      </c>
      <c r="D25" s="25">
        <f>IR_PV("CAP",CapStrike,0,MktData,DealData,MktShift+$A25,VolShift,0)</f>
        <v>391564.938827056</v>
      </c>
      <c r="E25" s="25">
        <f>IR_PV("COLLAR",CapStrike,CollarFloor,MktData,DealData,MktShift+$A25,VolShift,0)</f>
        <v>-313057.079475496</v>
      </c>
      <c r="H25" s="5" t="str">
        <f>IF(Market!$B$30="","",Market!$B$30)</f>
        <v>8Y</v>
      </c>
      <c r="I25" s="22">
        <f>IF(Market!$C$30="","",Market!$C$30)</f>
        <v>96</v>
      </c>
      <c r="J25" s="25">
        <f>IF(I25="","",IR_PV("SWAP",SwapRate,0,MktData,DealData,MktShift,VolShift,I25)-$B$11)</f>
        <v>0</v>
      </c>
    </row>
    <row r="26" spans="1:10">
      <c r="A26" s="22">
        <v>0</v>
      </c>
      <c r="B26" s="25">
        <f>IR_PV("SWAP",SwapRate,0,MktData,DealData,MktShift+$A26,VolShift,0)</f>
        <v>-2.18278728425503e-10</v>
      </c>
      <c r="C26" s="25">
        <f>IR_PV("FSWAP",FSwapRate,0,MktData,DealData,MktShift+$A26,VolShift,0)</f>
        <v>-5.74800651520491e-10</v>
      </c>
      <c r="D26" s="25">
        <f>IR_PV("CAP",CapStrike,0,MktData,DealData,MktShift+$A26,VolShift,0)</f>
        <v>511065.76139702</v>
      </c>
      <c r="E26" s="25">
        <f>IR_PV("COLLAR",CapStrike,CollarFloor,MktData,DealData,MktShift+$A26,VolShift,0)</f>
        <v>-7.82834831625223e-07</v>
      </c>
      <c r="H26" s="5" t="str">
        <f>IF(Market!$B$31="","",Market!$B$31)</f>
        <v>10Y</v>
      </c>
      <c r="I26" s="22">
        <f>IF(Market!$C$31="","",Market!$C$31)</f>
        <v>120</v>
      </c>
      <c r="J26" s="25">
        <f>IF(I26="","",IR_PV("SWAP",SwapRate,0,MktData,DealData,MktShift,VolShift,I26)-$B$11)</f>
        <v>0</v>
      </c>
    </row>
    <row r="27" spans="1:10">
      <c r="A27" s="22">
        <v>25</v>
      </c>
      <c r="B27" s="25">
        <f>IR_PV("SWAP",SwapRate,0,MktData,DealData,MktShift+$A27,VolShift,0)</f>
        <v>578427.532266936</v>
      </c>
      <c r="C27" s="25">
        <f>IR_PV("FSWAP",FSwapRate,0,MktData,DealData,MktShift+$A27,VolShift,0)</f>
        <v>563877.671939272</v>
      </c>
      <c r="D27" s="25">
        <f>IR_PV("CAP",CapStrike,0,MktData,DealData,MktShift+$A27,VolShift,0)</f>
        <v>659467.979087308</v>
      </c>
      <c r="E27" s="25">
        <f>IR_PV("COLLAR",CapStrike,CollarFloor,MktData,DealData,MktShift+$A27,VolShift,0)</f>
        <v>294419.690500164</v>
      </c>
      <c r="H27" s="5" t="str">
        <f>IF(Market!$B$32="","",Market!$B$32)</f>
        <v>12Y</v>
      </c>
      <c r="I27" s="22">
        <f>IF(Market!$C$32="","",Market!$C$32)</f>
        <v>144</v>
      </c>
      <c r="J27" s="25">
        <f>IF(I27="","",IR_PV("SWAP",SwapRate,0,MktData,DealData,MktShift,VolShift,I27)-$B$11)</f>
        <v>0</v>
      </c>
    </row>
    <row r="28" spans="1:10">
      <c r="A28" s="22">
        <v>50</v>
      </c>
      <c r="B28" s="25">
        <f>IR_PV("SWAP",SwapRate,0,MktData,DealData,MktShift+$A28,VolShift,0)</f>
        <v>1148434.87632007</v>
      </c>
      <c r="C28" s="25">
        <f>IR_PV("FSWAP",FSwapRate,0,MktData,DealData,MktShift+$A28,VolShift,0)</f>
        <v>1124202.08150974</v>
      </c>
      <c r="D28" s="25">
        <f>IR_PV("CAP",CapStrike,0,MktData,DealData,MktShift+$A28,VolShift,0)</f>
        <v>841830.263210071</v>
      </c>
      <c r="E28" s="25">
        <f>IR_PV("COLLAR",CapStrike,CollarFloor,MktData,DealData,MktShift+$A28,VolShift,0)</f>
        <v>584372.534238239</v>
      </c>
      <c r="H28" s="5" t="str">
        <f>IF(Market!$B$33="","",Market!$B$33)</f>
        <v>15Y</v>
      </c>
      <c r="I28" s="22">
        <f>IF(Market!$C$33="","",Market!$C$33)</f>
        <v>180</v>
      </c>
      <c r="J28" s="25">
        <f>IF(I28="","",IR_PV("SWAP",SwapRate,0,MktData,DealData,MktShift,VolShift,I28)-$B$11)</f>
        <v>0</v>
      </c>
    </row>
    <row r="29" spans="1:10">
      <c r="A29" s="22">
        <v>75</v>
      </c>
      <c r="B29" s="25">
        <f>IR_PV("SWAP",SwapRate,0,MktData,DealData,MktShift+$A29,VolShift,0)</f>
        <v>1710165.73432825</v>
      </c>
      <c r="C29" s="25">
        <f>IR_PV("FSWAP",FSwapRate,0,MktData,DealData,MktShift+$A29,VolShift,0)</f>
        <v>1679604.65417433</v>
      </c>
      <c r="D29" s="25">
        <f>IR_PV("CAP",CapStrike,0,MktData,DealData,MktShift+$A29,VolShift,0)</f>
        <v>1063495.17119611</v>
      </c>
      <c r="E29" s="25">
        <f>IR_PV("COLLAR",CapStrike,CollarFloor,MktData,DealData,MktShift+$A29,VolShift,0)</f>
        <v>884063.043516085</v>
      </c>
      <c r="H29" s="5" t="str">
        <f>IF(Market!$B$34="","",Market!$B$34)</f>
        <v>20Y</v>
      </c>
      <c r="I29" s="22">
        <f>IF(Market!$C$34="","",Market!$C$34)</f>
        <v>240</v>
      </c>
      <c r="J29" s="25">
        <f>IF(I29="","",IR_PV("SWAP",SwapRate,0,MktData,DealData,MktShift,VolShift,I29)-$B$11)</f>
        <v>0</v>
      </c>
    </row>
    <row r="30" spans="1:10">
      <c r="A30" s="22">
        <v>100</v>
      </c>
      <c r="B30" s="25">
        <f>IR_PV("SWAP",SwapRate,0,MktData,DealData,MktShift+$A30,VolShift,0)</f>
        <v>2263761.0047804</v>
      </c>
      <c r="C30" s="25">
        <f>IR_PV("FSWAP",FSwapRate,0,MktData,DealData,MktShift+$A30,VolShift,0)</f>
        <v>2229151.42411736</v>
      </c>
      <c r="D30" s="25">
        <f>IR_PV("CAP",CapStrike,0,MktData,DealData,MktShift+$A30,VolShift,0)</f>
        <v>1332676.60569221</v>
      </c>
      <c r="E30" s="25">
        <f>IR_PV("COLLAR",CapStrike,CollarFloor,MktData,DealData,MktShift+$A30,VolShift,0)</f>
        <v>1209087.86231822</v>
      </c>
    </row>
    <row r="31" spans="1:10">
      <c r="A31" s="22">
        <v>125</v>
      </c>
      <c r="B31" s="25">
        <f>IR_PV("SWAP",SwapRate,0,MktData,DealData,MktShift+$A31,VolShift,0)</f>
        <v>2809358.84395676</v>
      </c>
      <c r="C31" s="25">
        <f>IR_PV("FSWAP",FSwapRate,0,MktData,DealData,MktShift+$A31,VolShift,0)</f>
        <v>2772228.19423388</v>
      </c>
      <c r="D31" s="25">
        <f>IR_PV("CAP",CapStrike,0,MktData,DealData,MktShift+$A31,VolShift,0)</f>
        <v>1674677.16356792</v>
      </c>
      <c r="E31" s="25">
        <f>IR_PV("COLLAR",CapStrike,CollarFloor,MktData,DealData,MktShift+$A31,VolShift,0)</f>
        <v>1590549.37124414</v>
      </c>
    </row>
    <row r="32" spans="1:10">
      <c r="A32" s="22">
        <v>150</v>
      </c>
      <c r="B32" s="25">
        <f>IR_PV("SWAP",SwapRate,0,MktData,DealData,MktShift+$A32,VolShift,0)</f>
        <v>3347094.72590522</v>
      </c>
      <c r="C32" s="25">
        <f>IR_PV("FSWAP",FSwapRate,0,MktData,DealData,MktShift+$A32,VolShift,0)</f>
        <v>3308451.77410626</v>
      </c>
      <c r="D32" s="25">
        <f>IR_PV("CAP",CapStrike,0,MktData,DealData,MktShift+$A32,VolShift,0)</f>
        <v>2058044.72485441</v>
      </c>
      <c r="E32" s="25">
        <f>IR_PV("COLLAR",CapStrike,CollarFloor,MktData,DealData,MktShift+$A32,VolShift,0)</f>
        <v>2001451.16007834</v>
      </c>
    </row>
    <row r="33" spans="1:5">
      <c r="A33" s="22">
        <v>175</v>
      </c>
      <c r="B33" s="25">
        <f>IR_PV("SWAP",SwapRate,0,MktData,DealData,MktShift+$A33,VolShift,0)</f>
        <v>3877101.50096247</v>
      </c>
      <c r="C33" s="25">
        <f>IR_PV("FSWAP",FSwapRate,0,MktData,DealData,MktShift+$A33,VolShift,0)</f>
        <v>3837602.8092953</v>
      </c>
      <c r="D33" s="25">
        <f>IR_PV("CAP",CapStrike,0,MktData,DealData,MktShift+$A33,VolShift,0)</f>
        <v>2475398.87471153</v>
      </c>
      <c r="E33" s="25">
        <f>IR_PV("COLLAR",CapStrike,CollarFloor,MktData,DealData,MktShift+$A33,VolShift,0)</f>
        <v>2437778.18849957</v>
      </c>
    </row>
    <row r="34" spans="1:5">
      <c r="A34" s="22">
        <v>200</v>
      </c>
      <c r="B34" s="25">
        <f>IR_PV("SWAP",SwapRate,0,MktData,DealData,MktShift+$A34,VolShift,0)</f>
        <v>4399509.45285884</v>
      </c>
      <c r="C34" s="25">
        <f>IR_PV("FSWAP",FSwapRate,0,MktData,DealData,MktShift+$A34,VolShift,0)</f>
        <v>4359575.98187446</v>
      </c>
      <c r="D34" s="25">
        <f>IR_PV("CAP",CapStrike,0,MktData,DealData,MktShift+$A34,VolShift,0)</f>
        <v>2918112.84564604</v>
      </c>
      <c r="E34" s="25">
        <f>IR_PV("COLLAR",CapStrike,CollarFloor,MktData,DealData,MktShift+$A34,VolShift,0)</f>
        <v>2893402.98635171</v>
      </c>
    </row>
    <row r="37" spans="1:5">
      <c r="A37" s="19" t="s">
        <v>127</v>
      </c>
    </row>
    <row r="38" spans="1:5" ht="32" customHeight="1">
      <c r="A38" s="9" t="s">
        <v>128</v>
      </c>
      <c r="B38" s="9" t="s">
        <v>129</v>
      </c>
      <c r="C38" s="9" t="s">
        <v>66</v>
      </c>
      <c r="D38" s="9" t="s">
        <v>130</v>
      </c>
      <c r="E38" s="9" t="s">
        <v>131</v>
      </c>
    </row>
    <row r="39" spans="1:5">
      <c r="A39" s="7">
        <v>0.0225</v>
      </c>
      <c r="B39" s="25">
        <f>IR_PV("CAP",A39,0,MktData,DealData,MktShift,VolShift,0)</f>
        <v>1116033.28953378</v>
      </c>
      <c r="C39" s="31">
        <f>10000*B39/(HedgeRatio*Annuity1)</f>
        <v>46.4157368943515</v>
      </c>
      <c r="D39" s="29">
        <f>A39+Margin+C39/10000</f>
        <v>0.0421415736894352</v>
      </c>
      <c r="E39" s="29" t="str">
        <f>IR_COLLAR_FLOOR(A39,0,MktData,DealData,MktShift,VolShift)</f>
        <v>none</v>
      </c>
    </row>
    <row r="40" spans="1:5">
      <c r="A40" s="7">
        <v>0.025</v>
      </c>
      <c r="B40" s="25">
        <f>IR_PV("CAP",A40,0,MktData,DealData,MktShift,VolShift,0)</f>
        <v>869759.146067918</v>
      </c>
      <c r="C40" s="31">
        <f>10000*B40/(HedgeRatio*Annuity1)</f>
        <v>36.1732146020563</v>
      </c>
      <c r="D40" s="29">
        <f>A40+Margin+C40/10000</f>
        <v>0.0436173214602056</v>
      </c>
      <c r="E40" s="29">
        <f>IR_COLLAR_FLOOR(A40,0,MktData,DealData,MktShift,VolShift)</f>
        <v>0.0206794876977247</v>
      </c>
    </row>
    <row r="41" spans="1:5">
      <c r="A41" s="7">
        <v>0.0275</v>
      </c>
      <c r="B41" s="25">
        <f>IR_PV("CAP",A41,0,MktData,DealData,MktShift,VolShift,0)</f>
        <v>670462.264120241</v>
      </c>
      <c r="C41" s="31">
        <f>10000*B41/(HedgeRatio*Annuity1)</f>
        <v>27.8844729282194</v>
      </c>
      <c r="D41" s="29">
        <f>A41+Margin+C41/10000</f>
        <v>0.0452884472928219</v>
      </c>
      <c r="E41" s="29">
        <f>IR_COLLAR_FLOOR(A41,0,MktData,DealData,MktShift,VolShift)</f>
        <v>0.0186087250777614</v>
      </c>
    </row>
    <row r="42" spans="1:5">
      <c r="A42" s="7">
        <v>0.03</v>
      </c>
      <c r="B42" s="25">
        <f>IR_PV("CAP",A42,0,MktData,DealData,MktShift,VolShift,0)</f>
        <v>511065.76139702</v>
      </c>
      <c r="C42" s="31">
        <f>10000*B42/(HedgeRatio*Annuity1)</f>
        <v>21.2551848938351</v>
      </c>
      <c r="D42" s="29">
        <f>A42+Margin+C42/10000</f>
        <v>0.0471255184893835</v>
      </c>
      <c r="E42" s="29">
        <f>IR_COLLAR_FLOOR(A42,0,MktData,DealData,MktShift,VolShift)</f>
        <v>0.0165151813038772</v>
      </c>
    </row>
    <row r="43" spans="1:5">
      <c r="A43" s="7">
        <v>0.0325</v>
      </c>
      <c r="B43" s="25">
        <f>IR_PV("CAP",A43,0,MktData,DealData,MktShift,VolShift,0)</f>
        <v>384986.882093132</v>
      </c>
      <c r="C43" s="31">
        <f>10000*B43/(HedgeRatio*Annuity1)</f>
        <v>16.0115742017664</v>
      </c>
      <c r="D43" s="29">
        <f>A43+Margin+C43/10000</f>
        <v>0.0491011574201766</v>
      </c>
      <c r="E43" s="29">
        <f>IR_COLLAR_FLOOR(A43,0,MktData,DealData,MktShift,VolShift)</f>
        <v>0.0144165898103851</v>
      </c>
    </row>
    <row r="44" spans="1:5">
      <c r="A44" s="7">
        <v>0.035</v>
      </c>
      <c r="B44" s="25">
        <f>IR_PV("CAP",A44,0,MktData,DealData,MktShift,VolShift,0)</f>
        <v>286453.768126247</v>
      </c>
      <c r="C44" s="31">
        <f>10000*B44/(HedgeRatio*Annuity1)</f>
        <v>11.9135897275052</v>
      </c>
      <c r="D44" s="29">
        <f>A44+Margin+C44/10000</f>
        <v>0.0511913589727505</v>
      </c>
      <c r="E44" s="29">
        <f>IR_COLLAR_FLOOR(A44,0,MktData,DealData,MktShift,VolShift)</f>
        <v>0.012297369832657</v>
      </c>
    </row>
    <row r="45" spans="1:5">
      <c r="A45" s="7">
        <v>0.0375</v>
      </c>
      <c r="B45" s="25">
        <f>IR_PV("CAP",A45,0,MktData,DealData,MktShift,VolShift,0)</f>
        <v>210431.649141521</v>
      </c>
      <c r="C45" s="31">
        <f>10000*B45/(HedgeRatio*Annuity1)</f>
        <v>8.75183576726248</v>
      </c>
      <c r="D45" s="29">
        <f>A45+Margin+C45/10000</f>
        <v>0.0533751835767262</v>
      </c>
      <c r="E45" s="29">
        <f>IR_COLLAR_FLOOR(A45,0,MktData,DealData,MktShift,VolShift)</f>
        <v>0.0101521424892557</v>
      </c>
    </row>
    <row r="46" spans="1:5">
      <c r="A46" s="7">
        <v>0.04</v>
      </c>
      <c r="B46" s="25">
        <f>IR_PV("CAP",A46,0,MktData,DealData,MktShift,VolShift,0)</f>
        <v>152559.888329198</v>
      </c>
      <c r="C46" s="31">
        <f>10000*B46/(HedgeRatio*Annuity1)</f>
        <v>6.34495377846467</v>
      </c>
      <c r="D46" s="29">
        <f>A46+Margin+C46/10000</f>
        <v>0.0556344953778465</v>
      </c>
      <c r="E46" s="29">
        <f>IR_COLLAR_FLOOR(A46,0,MktData,DealData,MktShift,VolShift)</f>
        <v>0.00798023256949736</v>
      </c>
    </row>
    <row r="47" spans="1:5">
      <c r="A47" s="7">
        <v>0.0425</v>
      </c>
      <c r="B47" s="25">
        <f>IR_PV("CAP",A47,0,MktData,DealData,MktShift,VolShift,0)</f>
        <v>109113.424952469</v>
      </c>
      <c r="C47" s="31">
        <f>10000*B47/(HedgeRatio*Annuity1)</f>
        <v>4.53801877751432</v>
      </c>
      <c r="D47" s="29">
        <f>A47+Margin+C47/10000</f>
        <v>0.0579538018777514</v>
      </c>
      <c r="E47" s="29">
        <f>IR_COLLAR_FLOOR(A47,0,MktData,DealData,MktShift,VolShift)</f>
        <v>0.00578215259277871</v>
      </c>
    </row>
    <row r="48" spans="1:5">
      <c r="A48" s="7">
        <v>0.045</v>
      </c>
      <c r="B48" s="25">
        <f>IR_PV("CAP",A48,0,MktData,DealData,MktShift,VolShift,0)</f>
        <v>76961.0595953359</v>
      </c>
      <c r="C48" s="31">
        <f>10000*B48/(HedgeRatio*Annuity1)</f>
        <v>3.20080442652378</v>
      </c>
      <c r="D48" s="29">
        <f>A48+Margin+C48/10000</f>
        <v>0.0603200804426524</v>
      </c>
      <c r="E48" s="29">
        <f>IR_COLLAR_FLOOR(A48,0,MktData,DealData,MktShift,VolShift)</f>
        <v>0.00355867286893083</v>
      </c>
    </row>
  </sheetData>
  <pageMargins left="0.4" right="0.4" top="0.5" bottom="0.5" header="0.3" footer="0.3"/>
  <pageSetup paperSize="9"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pageSetUpPr fitToPage="1"/>
  </sheetPr>
  <dimension ref="A1:N84"/>
  <sheetViews>
    <sheetView showGridLines="0" workbookViewId="0"/>
  </sheetViews>
  <sheetFormatPr defaultRowHeight="15"/>
  <cols>
    <col min="1" max="1" width="20.7109375" customWidth="1"/>
    <col min="2" max="9" width="12.7109375" customWidth="1"/>
    <col min="10" max="10" width="3.7109375" customWidth="1"/>
    <col min="11" max="14" width="12.7109375" customWidth="1"/>
  </cols>
  <sheetData>
    <row r="1" spans="1:14">
      <c r="A1" s="19" t="s">
        <v>132</v>
      </c>
    </row>
    <row r="2" spans="1:14">
      <c r="A2" s="2" t="s">
        <v>133</v>
      </c>
    </row>
    <row r="4" spans="1:14" ht="32" customHeight="1">
      <c r="A4" s="9" t="s">
        <v>2</v>
      </c>
      <c r="B4" s="9" t="s">
        <v>3</v>
      </c>
      <c r="C4" s="9" t="s">
        <v>5</v>
      </c>
      <c r="D4" s="9" t="s">
        <v>134</v>
      </c>
      <c r="E4" s="9" t="s">
        <v>135</v>
      </c>
      <c r="F4" s="9" t="s">
        <v>136</v>
      </c>
      <c r="G4" s="9" t="s">
        <v>137</v>
      </c>
      <c r="H4" s="9" t="s">
        <v>138</v>
      </c>
      <c r="I4" s="9" t="s">
        <v>139</v>
      </c>
      <c r="K4" s="9" t="s">
        <v>140</v>
      </c>
      <c r="L4" s="9" t="s">
        <v>141</v>
      </c>
      <c r="M4" s="9" t="s">
        <v>142</v>
      </c>
      <c r="N4" s="9" t="s">
        <v>94</v>
      </c>
    </row>
    <row r="5" spans="1:14">
      <c r="A5" s="5" t="str">
        <f>IF(Market!$A$7="","",Market!$A$7)</f>
        <v>OIS (EUR STR)</v>
      </c>
      <c r="B5" s="5" t="str">
        <f>IF(Market!$A$7="","",Market!$B$7)</f>
        <v>1M</v>
      </c>
      <c r="C5" s="26">
        <f>IF(Market!$A$7="","",Market!$D$7+MktShift/10000)</f>
        <v>0.019</v>
      </c>
      <c r="D5" s="23">
        <f>IF(Market!$A$7="","",EDATE(ValDate,Market!$C$7))</f>
        <v>46347</v>
      </c>
      <c r="E5" s="5" t="str">
        <f>IF(Market!$A$7="","",IF(LEFT(A5,3)="OIS","ESTR","EURIBOR"))</f>
        <v>ESTR</v>
      </c>
      <c r="F5" s="27">
        <f>IF(Market!$A$7="","",IR_DF(E5,D5,MktData,MktShift))</f>
        <v>0.998366561375971</v>
      </c>
      <c r="G5" s="26">
        <f>IF(Market!$A$7="","",-LN(F5)/((D5-ValDate)/365))</f>
        <v>0.0192481471254064</v>
      </c>
      <c r="H5" s="26">
        <f>IF(Market!$A$7="","",IR_QUOTE(A5,Market!$C$7,MktData,MktShift))</f>
        <v>0.0190000000000007</v>
      </c>
      <c r="I5" s="27">
        <f>IF(Market!$A$7="","",(H5-C5)*10000)</f>
        <v>7.0082828429463e-12</v>
      </c>
      <c r="K5" s="24">
        <f>1/4</f>
        <v>0.25</v>
      </c>
      <c r="L5" s="23">
        <f>EDATE(ValDate,3*1)</f>
        <v>46408</v>
      </c>
      <c r="M5" s="26">
        <f>-LN(IR_DF("ESTR",L5,MktData,MktShift))/((L5-ValDate)/365)</f>
        <v>0.0192172712895248</v>
      </c>
      <c r="N5" s="26">
        <f>(IR_DF("EURIBOR",L5,MktData,MktShift)/IR_DF("EURIBOR",EDATE(L5,3),MktData,MktShift)-1)/((EDATE(L5,3)-L5)/360)</f>
        <v>0.0197397760415852</v>
      </c>
    </row>
    <row r="6" spans="1:14">
      <c r="A6" s="5" t="str">
        <f>IF(Market!$A$8="","",Market!$A$8)</f>
        <v>OIS (EUR STR)</v>
      </c>
      <c r="B6" s="5" t="str">
        <f>IF(Market!$A$8="","",Market!$B$8)</f>
        <v>3M</v>
      </c>
      <c r="C6" s="26">
        <f>IF(Market!$A$8="","",Market!$D$8+MktShift/10000)</f>
        <v>0.019</v>
      </c>
      <c r="D6" s="23">
        <f>IF(Market!$A$8="","",EDATE(ValDate,Market!$C$8))</f>
        <v>46408</v>
      </c>
      <c r="E6" s="5" t="str">
        <f>IF(Market!$A$8="","",IF(LEFT(A6,3)="OIS","ESTR","EURIBOR"))</f>
        <v>ESTR</v>
      </c>
      <c r="F6" s="27">
        <f>IF(Market!$A$8="","",IR_DF(E6,D6,MktData,MktShift))</f>
        <v>0.995167906940743</v>
      </c>
      <c r="G6" s="26">
        <f>IF(Market!$A$8="","",-LN(F6)/((D6-ValDate)/365))</f>
        <v>0.0192172712895248</v>
      </c>
      <c r="H6" s="26">
        <f>IF(Market!$A$8="","",IR_QUOTE(A6,Market!$C$8,MktData,MktShift))</f>
        <v>0.0190000000000002</v>
      </c>
      <c r="I6" s="27">
        <f>IF(Market!$A$8="","",(H6-C6)*10000)</f>
        <v>2.25514051876985e-12</v>
      </c>
      <c r="K6" s="24">
        <f>2/4</f>
        <v>0.5</v>
      </c>
      <c r="L6" s="23">
        <f>EDATE(ValDate,3*2)</f>
        <v>46498</v>
      </c>
      <c r="M6" s="26">
        <f>-LN(IR_DF("ESTR",L6,MktData,MktShift))/((L6-ValDate)/365)</f>
        <v>0.0189710983732262</v>
      </c>
      <c r="N6" s="26">
        <f>(IR_DF("EURIBOR",L6,MktData,MktShift)/IR_DF("EURIBOR",EDATE(L6,3),MktData,MktShift)-1)/((EDATE(L6,3)-L6)/360)</f>
        <v>0.0197403163560983</v>
      </c>
    </row>
    <row r="7" spans="1:14">
      <c r="A7" s="5" t="str">
        <f>IF(Market!$A$9="","",Market!$A$9)</f>
        <v>OIS (EUR STR)</v>
      </c>
      <c r="B7" s="5" t="str">
        <f>IF(Market!$A$9="","",Market!$B$9)</f>
        <v>6M</v>
      </c>
      <c r="C7" s="26">
        <f>IF(Market!$A$9="","",Market!$D$9+MktShift/10000)</f>
        <v>0.0188</v>
      </c>
      <c r="D7" s="23">
        <f>IF(Market!$A$9="","",EDATE(ValDate,Market!$C$9))</f>
        <v>46498</v>
      </c>
      <c r="E7" s="5" t="str">
        <f>IF(Market!$A$9="","",IF(LEFT(A7,3)="OIS","ESTR","EURIBOR"))</f>
        <v>ESTR</v>
      </c>
      <c r="F7" s="27">
        <f>IF(Market!$A$9="","",IR_DF(E7,D7,MktData,MktShift))</f>
        <v>0.990585039524343</v>
      </c>
      <c r="G7" s="26">
        <f>IF(Market!$A$9="","",-LN(F7)/((D7-ValDate)/365))</f>
        <v>0.0189710983732262</v>
      </c>
      <c r="H7" s="26">
        <f>IF(Market!$A$9="","",IR_QUOTE(A7,Market!$C$9,MktData,MktShift))</f>
        <v>0.0188000000000002</v>
      </c>
      <c r="I7" s="27">
        <f>IF(Market!$A$9="","",(H7-C7)*10000)</f>
        <v>1.83880688453542e-12</v>
      </c>
      <c r="K7" s="24">
        <f>3/4</f>
        <v>0.75</v>
      </c>
      <c r="L7" s="23">
        <f>EDATE(ValDate,3*3)</f>
        <v>46589</v>
      </c>
      <c r="M7" s="26">
        <f>-LN(IR_DF("ESTR",L7,MktData,MktShift))/((L7-ValDate)/365)</f>
        <v>0.0188455279464558</v>
      </c>
      <c r="N7" s="26">
        <f>(IR_DF("EURIBOR",L7,MktData,MktShift)/IR_DF("EURIBOR",EDATE(L7,3),MktData,MktShift)-1)/((EDATE(L7,3)-L7)/360)</f>
        <v>0.0197408566903227</v>
      </c>
    </row>
    <row r="8" spans="1:14">
      <c r="A8" s="5" t="str">
        <f>IF(Market!$A$10="","",Market!$A$10)</f>
        <v>OIS (EUR STR)</v>
      </c>
      <c r="B8" s="5" t="str">
        <f>IF(Market!$A$10="","",Market!$B$10)</f>
        <v>1Y</v>
      </c>
      <c r="C8" s="26">
        <f>IF(Market!$A$10="","",Market!$D$10+MktShift/10000)</f>
        <v>0.0187</v>
      </c>
      <c r="D8" s="23">
        <f>IF(Market!$A$10="","",EDATE(ValDate,Market!$C$10))</f>
        <v>46681</v>
      </c>
      <c r="E8" s="5" t="str">
        <f>IF(Market!$A$10="","",IF(LEFT(A8,3)="OIS","ESTR","EURIBOR"))</f>
        <v>ESTR</v>
      </c>
      <c r="F8" s="27">
        <f>IF(Market!$A$10="","",IR_DF(E8,D8,MktData,MktShift))</f>
        <v>0.981393060188019</v>
      </c>
      <c r="G8" s="26">
        <f>IF(Market!$A$10="","",-LN(F8)/((D8-ValDate)/365))</f>
        <v>0.0187822266902208</v>
      </c>
      <c r="H8" s="26">
        <f>IF(Market!$A$10="","",IR_QUOTE(A8,Market!$C$10,MktData,MktShift))</f>
        <v>0.0187</v>
      </c>
      <c r="I8" s="27">
        <f>IF(Market!$A$10="","",(H8-C8)*10000)</f>
        <v>0</v>
      </c>
      <c r="K8" s="24">
        <f>4/4</f>
        <v>1</v>
      </c>
      <c r="L8" s="23">
        <f>EDATE(ValDate,3*4)</f>
        <v>46681</v>
      </c>
      <c r="M8" s="26">
        <f>-LN(IR_DF("ESTR",L8,MktData,MktShift))/((L8-ValDate)/365)</f>
        <v>0.0187822266902208</v>
      </c>
      <c r="N8" s="26">
        <f>(IR_DF("EURIBOR",L8,MktData,MktShift)/IR_DF("EURIBOR",EDATE(L8,3),MktData,MktShift)-1)/((EDATE(L8,3)-L8)/360)</f>
        <v>0.0208052931488843</v>
      </c>
    </row>
    <row r="9" spans="1:14">
      <c r="A9" s="5" t="str">
        <f>IF(Market!$A$11="","",Market!$A$11)</f>
        <v>OIS (EUR STR)</v>
      </c>
      <c r="B9" s="5" t="str">
        <f>IF(Market!$A$11="","",Market!$B$11)</f>
        <v>2Y</v>
      </c>
      <c r="C9" s="26">
        <f>IF(Market!$A$11="","",Market!$D$11+MktShift/10000)</f>
        <v>0.0192</v>
      </c>
      <c r="D9" s="23">
        <f>IF(Market!$A$11="","",EDATE(ValDate,Market!$C$11))</f>
        <v>47047</v>
      </c>
      <c r="E9" s="5" t="str">
        <f>IF(Market!$A$11="","",IF(LEFT(A9,3)="OIS","ESTR","EURIBOR"))</f>
        <v>ESTR</v>
      </c>
      <c r="F9" s="27">
        <f>IF(Market!$A$11="","",IR_DF(E9,D9,MktData,MktShift))</f>
        <v>0.962115062410095</v>
      </c>
      <c r="G9" s="26">
        <f>IF(Market!$A$11="","",-LN(F9)/((D9-ValDate)/365))</f>
        <v>0.0192841972783672</v>
      </c>
      <c r="H9" s="26">
        <f>IF(Market!$A$11="","",IR_QUOTE(A9,Market!$C$11,MktData,MktShift))</f>
        <v>0.0192</v>
      </c>
      <c r="I9" s="27">
        <f>IF(Market!$A$11="","",(H9-C9)*10000)</f>
        <v>0</v>
      </c>
      <c r="K9" s="24">
        <f>5/4</f>
        <v>1.25</v>
      </c>
      <c r="L9" s="23">
        <f>EDATE(ValDate,3*5)</f>
        <v>46773</v>
      </c>
      <c r="M9" s="26">
        <f>-LN(IR_DF("ESTR",L9,MktData,MktShift))/((L9-ValDate)/365)</f>
        <v>0.0189840569086447</v>
      </c>
      <c r="N9" s="26">
        <f>(IR_DF("EURIBOR",L9,MktData,MktShift)/IR_DF("EURIBOR",EDATE(L9,3),MktData,MktShift)-1)/((EDATE(L9,3)-L9)/360)</f>
        <v>0.0208046930283406</v>
      </c>
    </row>
    <row r="10" spans="1:14">
      <c r="A10" s="5" t="str">
        <f>IF(Market!$A$12="","",Market!$A$12)</f>
        <v>OIS (EUR STR)</v>
      </c>
      <c r="B10" s="5" t="str">
        <f>IF(Market!$A$12="","",Market!$B$12)</f>
        <v>3Y</v>
      </c>
      <c r="C10" s="26">
        <f>IF(Market!$A$12="","",Market!$D$12+MktShift/10000)</f>
        <v>0.02</v>
      </c>
      <c r="D10" s="23">
        <f>IF(Market!$A$12="","",EDATE(ValDate,Market!$C$12))</f>
        <v>47412</v>
      </c>
      <c r="E10" s="5" t="str">
        <f>IF(Market!$A$12="","",IF(LEFT(A10,3)="OIS","ESTR","EURIBOR"))</f>
        <v>ESTR</v>
      </c>
      <c r="F10" s="27">
        <f>IF(Market!$A$12="","",IR_DF(E10,D10,MktData,MktShift))</f>
        <v>0.941446088766092</v>
      </c>
      <c r="G10" s="26">
        <f>IF(Market!$A$12="","",-LN(F10)/((D10-ValDate)/365))</f>
        <v>0.0200943801435592</v>
      </c>
      <c r="H10" s="26">
        <f>IF(Market!$A$12="","",IR_QUOTE(A10,Market!$C$12,MktData,MktShift))</f>
        <v>0.02</v>
      </c>
      <c r="I10" s="27">
        <f>IF(Market!$A$12="","",(H10-C10)*10000)</f>
        <v>0</v>
      </c>
      <c r="K10" s="24">
        <f>6/4</f>
        <v>1.5</v>
      </c>
      <c r="L10" s="23">
        <f>EDATE(ValDate,3*6)</f>
        <v>46864</v>
      </c>
      <c r="M10" s="26">
        <f>-LN(IR_DF("ESTR",L10,MktData,MktShift))/((L10-ValDate)/365)</f>
        <v>0.0191170264164389</v>
      </c>
      <c r="N10" s="26">
        <f>(IR_DF("EURIBOR",L10,MktData,MktShift)/IR_DF("EURIBOR",EDATE(L10,3),MktData,MktShift)-1)/((EDATE(L10,3)-L10)/360)</f>
        <v>0.0208046930283414</v>
      </c>
    </row>
    <row r="11" spans="1:14">
      <c r="A11" s="5" t="str">
        <f>IF(Market!$A$13="","",Market!$A$13)</f>
        <v>OIS (EUR STR)</v>
      </c>
      <c r="B11" s="5" t="str">
        <f>IF(Market!$A$13="","",Market!$B$13)</f>
        <v>4Y</v>
      </c>
      <c r="C11" s="26">
        <f>IF(Market!$A$13="","",Market!$D$13+MktShift/10000)</f>
        <v>0.0208</v>
      </c>
      <c r="D11" s="23">
        <f>IF(Market!$A$13="","",EDATE(ValDate,Market!$C$13))</f>
        <v>47777</v>
      </c>
      <c r="E11" s="5" t="str">
        <f>IF(Market!$A$13="","",IF(LEFT(A11,3)="OIS","ESTR","EURIBOR"))</f>
        <v>ESTR</v>
      </c>
      <c r="F11" s="27">
        <f>IF(Market!$A$13="","",IR_DF(E11,D11,MktData,MktShift))</f>
        <v>0.919708306040461</v>
      </c>
      <c r="G11" s="26">
        <f>IF(Market!$A$13="","",-LN(F11)/((D11-ValDate)/365))</f>
        <v>0.0209103573035747</v>
      </c>
      <c r="H11" s="26">
        <f>IF(Market!$A$13="","",IR_QUOTE(A11,Market!$C$13,MktData,MktShift))</f>
        <v>0.0207999999999999</v>
      </c>
      <c r="I11" s="27">
        <f>IF(Market!$A$13="","",(H11-C11)*10000)</f>
        <v>-9.71445146547012e-13</v>
      </c>
      <c r="K11" s="24">
        <f>7/4</f>
        <v>1.75</v>
      </c>
      <c r="L11" s="23">
        <f>EDATE(ValDate,3*7)</f>
        <v>46955</v>
      </c>
      <c r="M11" s="26">
        <f>-LN(IR_DF("ESTR",L11,MktData,MktShift))/((L11-ValDate)/365)</f>
        <v>0.0192121235448613</v>
      </c>
      <c r="N11" s="26">
        <f>(IR_DF("EURIBOR",L11,MktData,MktShift)/IR_DF("EURIBOR",EDATE(L11,3),MktData,MktShift)-1)/((EDATE(L11,3)-L11)/360)</f>
        <v>0.0208052931488843</v>
      </c>
    </row>
    <row r="12" spans="1:14">
      <c r="A12" s="5" t="str">
        <f>IF(Market!$A$14="","",Market!$A$14)</f>
        <v>OIS (EUR STR)</v>
      </c>
      <c r="B12" s="5" t="str">
        <f>IF(Market!$A$14="","",Market!$B$14)</f>
        <v>5Y</v>
      </c>
      <c r="C12" s="26">
        <f>IF(Market!$A$14="","",Market!$D$14+MktShift/10000)</f>
        <v>0.0215</v>
      </c>
      <c r="D12" s="23">
        <f>IF(Market!$A$14="","",EDATE(ValDate,Market!$C$14))</f>
        <v>48142</v>
      </c>
      <c r="E12" s="5" t="str">
        <f>IF(Market!$A$14="","",IF(LEFT(A12,3)="OIS","ESTR","EURIBOR"))</f>
        <v>ESTR</v>
      </c>
      <c r="F12" s="27">
        <f>IF(Market!$A$14="","",IR_DF(E12,D12,MktData,MktShift))</f>
        <v>0.897443167129927</v>
      </c>
      <c r="G12" s="26">
        <f>IF(Market!$A$14="","",-LN(F12)/((D12-ValDate)/365))</f>
        <v>0.0216292451901674</v>
      </c>
      <c r="H12" s="26">
        <f>IF(Market!$A$14="","",IR_QUOTE(A12,Market!$C$14,MktData,MktShift))</f>
        <v>0.0214999999999996</v>
      </c>
      <c r="I12" s="27">
        <f>IF(Market!$A$14="","",(H12-C12)*10000)</f>
        <v>-3.88578058618805e-12</v>
      </c>
      <c r="K12" s="24">
        <f>8/4</f>
        <v>2</v>
      </c>
      <c r="L12" s="23">
        <f>EDATE(ValDate,3*8)</f>
        <v>47047</v>
      </c>
      <c r="M12" s="26">
        <f>-LN(IR_DF("ESTR",L12,MktData,MktShift))/((L12-ValDate)/365)</f>
        <v>0.0192841972783672</v>
      </c>
      <c r="N12" s="26">
        <f>(IR_DF("EURIBOR",L12,MktData,MktShift)/IR_DF("EURIBOR",EDATE(L12,3),MktData,MktShift)-1)/((EDATE(L12,3)-L12)/360)</f>
        <v>0.0227471088621678</v>
      </c>
    </row>
    <row r="13" spans="1:14">
      <c r="A13" s="5" t="str">
        <f>IF(Market!$A$15="","",Market!$A$15)</f>
        <v>OIS (EUR STR)</v>
      </c>
      <c r="B13" s="5" t="str">
        <f>IF(Market!$A$15="","",Market!$B$15)</f>
        <v>6Y</v>
      </c>
      <c r="C13" s="26">
        <f>IF(Market!$A$15="","",Market!$D$15+MktShift/10000)</f>
        <v>0.0222</v>
      </c>
      <c r="D13" s="23">
        <f>IF(Market!$A$15="","",EDATE(ValDate,Market!$C$15))</f>
        <v>48508</v>
      </c>
      <c r="E13" s="5" t="str">
        <f>IF(Market!$A$15="","",IF(LEFT(A13,3)="OIS","ESTR","EURIBOR"))</f>
        <v>ESTR</v>
      </c>
      <c r="F13" s="27">
        <f>IF(Market!$A$15="","",IR_DF(E13,D13,MktData,MktShift))</f>
        <v>0.874369585901293</v>
      </c>
      <c r="G13" s="26">
        <f>IF(Market!$A$15="","",-LN(F13)/((D13-ValDate)/365))</f>
        <v>0.0223549387884156</v>
      </c>
      <c r="H13" s="26">
        <f>IF(Market!$A$15="","",IR_QUOTE(A13,Market!$C$15,MktData,MktShift))</f>
        <v>0.0222</v>
      </c>
      <c r="I13" s="27">
        <f>IF(Market!$A$15="","",(H13-C13)*10000)</f>
        <v>0</v>
      </c>
      <c r="K13" s="24">
        <f>9/4</f>
        <v>2.25</v>
      </c>
      <c r="L13" s="23">
        <f>EDATE(ValDate,3*9)</f>
        <v>47139</v>
      </c>
      <c r="M13" s="26">
        <f>-LN(IR_DF("ESTR",L13,MktData,MktShift))/((L13-ValDate)/365)</f>
        <v>0.0195561470733473</v>
      </c>
      <c r="N13" s="26">
        <f>(IR_DF("EURIBOR",L13,MktData,MktShift)/IR_DF("EURIBOR",EDATE(L13,3),MktData,MktShift)-1)/((EDATE(L13,3)-L13)/360)</f>
        <v>0.0227456743912517</v>
      </c>
    </row>
    <row r="14" spans="1:14">
      <c r="A14" s="5" t="str">
        <f>IF(Market!$A$16="","",Market!$A$16)</f>
        <v>OIS (EUR STR)</v>
      </c>
      <c r="B14" s="5" t="str">
        <f>IF(Market!$A$16="","",Market!$B$16)</f>
        <v>7Y</v>
      </c>
      <c r="C14" s="26">
        <f>IF(Market!$A$16="","",Market!$D$16+MktShift/10000)</f>
        <v>0.0229</v>
      </c>
      <c r="D14" s="23">
        <f>IF(Market!$A$16="","",EDATE(ValDate,Market!$C$16))</f>
        <v>48873</v>
      </c>
      <c r="E14" s="5" t="str">
        <f>IF(Market!$A$16="","",IF(LEFT(A14,3)="OIS","ESTR","EURIBOR"))</f>
        <v>ESTR</v>
      </c>
      <c r="F14" s="27">
        <f>IF(Market!$A$16="","",IR_DF(E14,D14,MktData,MktShift))</f>
        <v>0.850657649962239</v>
      </c>
      <c r="G14" s="26">
        <f>IF(Market!$A$16="","",-LN(F14)/((D14-ValDate)/365))</f>
        <v>0.0230884301242895</v>
      </c>
      <c r="H14" s="26">
        <f>IF(Market!$A$16="","",IR_QUOTE(A14,Market!$C$16,MktData,MktShift))</f>
        <v>0.0229</v>
      </c>
      <c r="I14" s="27">
        <f>IF(Market!$A$16="","",(H14-C14)*10000)</f>
        <v>0</v>
      </c>
      <c r="K14" s="24">
        <f>10/4</f>
        <v>2.5</v>
      </c>
      <c r="L14" s="23">
        <f>EDATE(ValDate,3*10)</f>
        <v>47229</v>
      </c>
      <c r="M14" s="26">
        <f>-LN(IR_DF("ESTR",L14,MktData,MktShift))/((L14-ValDate)/365)</f>
        <v>0.0197691521808732</v>
      </c>
      <c r="N14" s="26">
        <f>(IR_DF("EURIBOR",L14,MktData,MktShift)/IR_DF("EURIBOR",EDATE(L14,3),MktData,MktShift)-1)/((EDATE(L14,3)-L14)/360)</f>
        <v>0.0227463916116395</v>
      </c>
    </row>
    <row r="15" spans="1:14">
      <c r="A15" s="5" t="str">
        <f>IF(Market!$A$17="","",Market!$A$17)</f>
        <v>OIS (EUR STR)</v>
      </c>
      <c r="B15" s="5" t="str">
        <f>IF(Market!$A$17="","",Market!$B$17)</f>
        <v>8Y</v>
      </c>
      <c r="C15" s="26">
        <f>IF(Market!$A$17="","",Market!$D$17+MktShift/10000)</f>
        <v>0.0235</v>
      </c>
      <c r="D15" s="23">
        <f>IF(Market!$A$17="","",EDATE(ValDate,Market!$C$17))</f>
        <v>49238</v>
      </c>
      <c r="E15" s="5" t="str">
        <f>IF(Market!$A$17="","",IF(LEFT(A15,3)="OIS","ESTR","EURIBOR"))</f>
        <v>ESTR</v>
      </c>
      <c r="F15" s="27">
        <f>IF(Market!$A$17="","",IR_DF(E15,D15,MktData,MktShift))</f>
        <v>0.827039387879211</v>
      </c>
      <c r="G15" s="26">
        <f>IF(Market!$A$17="","",-LN(F15)/((D15-ValDate)/365))</f>
        <v>0.0237216220223239</v>
      </c>
      <c r="H15" s="26">
        <f>IF(Market!$A$17="","",IR_QUOTE(A15,Market!$C$17,MktData,MktShift))</f>
        <v>0.0235</v>
      </c>
      <c r="I15" s="27">
        <f>IF(Market!$A$17="","",(H15-C15)*10000)</f>
        <v>0</v>
      </c>
      <c r="K15" s="24">
        <f>11/4</f>
        <v>2.75</v>
      </c>
      <c r="L15" s="23">
        <f>EDATE(ValDate,3*11)</f>
        <v>47320</v>
      </c>
      <c r="M15" s="26">
        <f>-LN(IR_DF("ESTR",L15,MktData,MktShift))/((L15-ValDate)/365)</f>
        <v>0.019945697018389</v>
      </c>
      <c r="N15" s="26">
        <f>(IR_DF("EURIBOR",L15,MktData,MktShift)/IR_DF("EURIBOR",EDATE(L15,3),MktData,MktShift)-1)/((EDATE(L15,3)-L15)/360)</f>
        <v>0.0227471088621678</v>
      </c>
    </row>
    <row r="16" spans="1:14">
      <c r="A16" s="5" t="str">
        <f>IF(Market!$A$18="","",Market!$A$18)</f>
        <v>OIS (EUR STR)</v>
      </c>
      <c r="B16" s="5" t="str">
        <f>IF(Market!$A$18="","",Market!$B$18)</f>
        <v>10Y</v>
      </c>
      <c r="C16" s="26">
        <f>IF(Market!$A$18="","",Market!$D$18+MktShift/10000)</f>
        <v>0.0247</v>
      </c>
      <c r="D16" s="23">
        <f>IF(Market!$A$18="","",EDATE(ValDate,Market!$C$18))</f>
        <v>49969</v>
      </c>
      <c r="E16" s="5" t="str">
        <f>IF(Market!$A$18="","",IF(LEFT(A16,3)="OIS","ESTR","EURIBOR"))</f>
        <v>ESTR</v>
      </c>
      <c r="F16" s="27">
        <f>IF(Market!$A$18="","",IR_DF(E16,D16,MktData,MktShift))</f>
        <v>0.77856018908885</v>
      </c>
      <c r="G16" s="26">
        <f>IF(Market!$A$18="","",-LN(F16)/((D16-ValDate)/365))</f>
        <v>0.0250103412068756</v>
      </c>
      <c r="H16" s="26">
        <f>IF(Market!$A$18="","",IR_QUOTE(A16,Market!$C$18,MktData,MktShift))</f>
        <v>0.0247</v>
      </c>
      <c r="I16" s="27">
        <f>IF(Market!$A$18="","",(H16-C16)*10000)</f>
        <v>0</v>
      </c>
      <c r="K16" s="24">
        <f>12/4</f>
        <v>3</v>
      </c>
      <c r="L16" s="23">
        <f>EDATE(ValDate,3*12)</f>
        <v>47412</v>
      </c>
      <c r="M16" s="26">
        <f>-LN(IR_DF("ESTR",L16,MktData,MktShift))/((L16-ValDate)/365)</f>
        <v>0.0200943801435592</v>
      </c>
      <c r="N16" s="26">
        <f>(IR_DF("EURIBOR",L16,MktData,MktShift)/IR_DF("EURIBOR",EDATE(L16,3),MktData,MktShift)-1)/((EDATE(L16,3)-L16)/360)</f>
        <v>0.0243540406875651</v>
      </c>
    </row>
    <row r="17" spans="1:14">
      <c r="A17" s="5" t="str">
        <f>IF(Market!$A$19="","",Market!$A$19)</f>
        <v>OIS (EUR STR)</v>
      </c>
      <c r="B17" s="5" t="str">
        <f>IF(Market!$A$19="","",Market!$B$19)</f>
        <v>12Y</v>
      </c>
      <c r="C17" s="26">
        <f>IF(Market!$A$19="","",Market!$D$19+MktShift/10000)</f>
        <v>0.0256</v>
      </c>
      <c r="D17" s="23">
        <f>IF(Market!$A$19="","",EDATE(ValDate,Market!$C$19))</f>
        <v>50699</v>
      </c>
      <c r="E17" s="5" t="str">
        <f>IF(Market!$A$19="","",IF(LEFT(A17,3)="OIS","ESTR","EURIBOR"))</f>
        <v>ESTR</v>
      </c>
      <c r="F17" s="27">
        <f>IF(Market!$A$19="","",IR_DF(E17,D17,MktData,MktShift))</f>
        <v>0.73190153897883</v>
      </c>
      <c r="G17" s="26">
        <f>IF(Market!$A$19="","",-LN(F17)/((D17-ValDate)/365))</f>
        <v>0.0259913047081524</v>
      </c>
      <c r="H17" s="26">
        <f>IF(Market!$A$19="","",IR_QUOTE(A17,Market!$C$19,MktData,MktShift))</f>
        <v>0.0256</v>
      </c>
      <c r="I17" s="27">
        <f>IF(Market!$A$19="","",(H17-C17)*10000)</f>
        <v>0</v>
      </c>
      <c r="K17" s="24">
        <f>13/4</f>
        <v>3.25</v>
      </c>
      <c r="L17" s="23">
        <f>EDATE(ValDate,3*13)</f>
        <v>47504</v>
      </c>
      <c r="M17" s="26">
        <f>-LN(IR_DF("ESTR",L17,MktData,MktShift))/((L17-ValDate)/365)</f>
        <v>0.0203473138690147</v>
      </c>
      <c r="N17" s="26">
        <f>(IR_DF("EURIBOR",L17,MktData,MktShift)/IR_DF("EURIBOR",EDATE(L17,3),MktData,MktShift)-1)/((EDATE(L17,3)-L17)/360)</f>
        <v>0.0243523966153409</v>
      </c>
    </row>
    <row r="18" spans="1:14">
      <c r="A18" s="5" t="str">
        <f>IF(Market!$A$20="","",Market!$A$20)</f>
        <v>OIS (EUR STR)</v>
      </c>
      <c r="B18" s="5" t="str">
        <f>IF(Market!$A$20="","",Market!$B$20)</f>
        <v>15Y</v>
      </c>
      <c r="C18" s="26">
        <f>IF(Market!$A$20="","",Market!$D$20+MktShift/10000)</f>
        <v>0.0264</v>
      </c>
      <c r="D18" s="23">
        <f>IF(Market!$A$20="","",EDATE(ValDate,Market!$C$20))</f>
        <v>51795</v>
      </c>
      <c r="E18" s="5" t="str">
        <f>IF(Market!$A$20="","",IF(LEFT(A18,3)="OIS","ESTR","EURIBOR"))</f>
        <v>ESTR</v>
      </c>
      <c r="F18" s="27">
        <f>IF(Market!$A$20="","",IR_DF(E18,D18,MktData,MktShift))</f>
        <v>0.668148701345263</v>
      </c>
      <c r="G18" s="26">
        <f>IF(Market!$A$20="","",-LN(F18)/((D18-ValDate)/365))</f>
        <v>0.0268633420416617</v>
      </c>
      <c r="H18" s="26">
        <f>IF(Market!$A$20="","",IR_QUOTE(A18,Market!$C$20,MktData,MktShift))</f>
        <v>0.0264</v>
      </c>
      <c r="I18" s="27">
        <f>IF(Market!$A$20="","",(H18-C18)*10000)</f>
        <v>0</v>
      </c>
      <c r="K18" s="24">
        <f>14/4</f>
        <v>3.5</v>
      </c>
      <c r="L18" s="23">
        <f>EDATE(ValDate,3*14)</f>
        <v>47594</v>
      </c>
      <c r="M18" s="26">
        <f>-LN(IR_DF("ESTR",L18,MktData,MktShift))/((L18-ValDate)/365)</f>
        <v>0.0205595117893294</v>
      </c>
      <c r="N18" s="26">
        <f>(IR_DF("EURIBOR",L18,MktData,MktShift)/IR_DF("EURIBOR",EDATE(L18,3),MktData,MktShift)-1)/((EDATE(L18,3)-L18)/360)</f>
        <v>0.024353218632964</v>
      </c>
    </row>
    <row r="19" spans="1:14">
      <c r="A19" s="5" t="str">
        <f>IF(Market!$A$21="","",Market!$A$21)</f>
        <v>OIS (EUR STR)</v>
      </c>
      <c r="B19" s="5" t="str">
        <f>IF(Market!$A$21="","",Market!$B$21)</f>
        <v>20Y</v>
      </c>
      <c r="C19" s="26">
        <f>IF(Market!$A$21="","",Market!$D$21+MktShift/10000)</f>
        <v>0.0268</v>
      </c>
      <c r="D19" s="23">
        <f>IF(Market!$A$21="","",EDATE(ValDate,Market!$C$21))</f>
        <v>53621</v>
      </c>
      <c r="E19" s="5" t="str">
        <f>IF(Market!$A$21="","",IF(LEFT(A19,3)="OIS","ESTR","EURIBOR"))</f>
        <v>ESTR</v>
      </c>
      <c r="F19" s="27">
        <f>IF(Market!$A$21="","",IR_DF(E19,D19,MktData,MktShift))</f>
        <v>0.579650236737526</v>
      </c>
      <c r="G19" s="26">
        <f>IF(Market!$A$21="","",-LN(F19)/((D19-ValDate)/365))</f>
        <v>0.0272478569568364</v>
      </c>
      <c r="H19" s="26">
        <f>IF(Market!$A$21="","",IR_QUOTE(A19,Market!$C$21,MktData,MktShift))</f>
        <v>0.0268</v>
      </c>
      <c r="I19" s="27">
        <f>IF(Market!$A$21="","",(H19-C19)*10000)</f>
        <v>0</v>
      </c>
      <c r="K19" s="24">
        <f>15/4</f>
        <v>3.75</v>
      </c>
      <c r="L19" s="23">
        <f>EDATE(ValDate,3*15)</f>
        <v>47685</v>
      </c>
      <c r="M19" s="26">
        <f>-LN(IR_DF("ESTR",L19,MktData,MktShift))/((L19-ValDate)/365)</f>
        <v>0.0207457003516977</v>
      </c>
      <c r="N19" s="26">
        <f>(IR_DF("EURIBOR",L19,MktData,MktShift)/IR_DF("EURIBOR",EDATE(L19,3),MktData,MktShift)-1)/((EDATE(L19,3)-L19)/360)</f>
        <v>0.0243540406875651</v>
      </c>
    </row>
    <row r="20" spans="1:14">
      <c r="A20" s="5" t="str">
        <f>IF(Market!$A$22="","",Market!$A$22)</f>
        <v>Fixing Euribor 3M</v>
      </c>
      <c r="B20" s="5" t="str">
        <f>IF(Market!$A$22="","",Market!$B$22)</f>
        <v>3M</v>
      </c>
      <c r="C20" s="26">
        <f>IF(Market!$A$22="","",Market!$D$22+MktShift/10000)</f>
        <v>0.0203</v>
      </c>
      <c r="D20" s="23">
        <f>IF(Market!$A$22="","",EDATE(ValDate,Market!$C$22))</f>
        <v>46408</v>
      </c>
      <c r="E20" s="5" t="str">
        <f>IF(Market!$A$22="","",IF(LEFT(A20,3)="OIS","ESTR","EURIBOR"))</f>
        <v>EURIBOR</v>
      </c>
      <c r="F20" s="27">
        <f>IF(Market!$A$22="","",IR_DF(E20,D20,MktData,MktShift))</f>
        <v>0.994838996362205</v>
      </c>
      <c r="G20" s="26">
        <f>IF(Market!$A$22="","",-LN(F20)/((D20-ValDate)/365))</f>
        <v>0.0205287410928862</v>
      </c>
      <c r="H20" s="26">
        <f>IF(Market!$A$22="","",IR_QUOTE(A20,Market!$C$22,MktData,MktShift))</f>
        <v>0.0203000000000001</v>
      </c>
      <c r="I20" s="27">
        <f>IF(Market!$A$22="","",(H20-C20)*10000)</f>
        <v>0</v>
      </c>
      <c r="K20" s="24">
        <f>16/4</f>
        <v>4</v>
      </c>
      <c r="L20" s="23">
        <f>EDATE(ValDate,3*16)</f>
        <v>47777</v>
      </c>
      <c r="M20" s="26">
        <f>-LN(IR_DF("ESTR",L20,MktData,MktShift))/((L20-ValDate)/365)</f>
        <v>0.0209103573035747</v>
      </c>
      <c r="N20" s="26">
        <f>(IR_DF("EURIBOR",L20,MktData,MktShift)/IR_DF("EURIBOR",EDATE(L20,3),MktData,MktShift)-1)/((EDATE(L20,3)-L20)/360)</f>
        <v>0.0254754004979805</v>
      </c>
    </row>
    <row r="21" spans="1:14">
      <c r="A21" s="5" t="str">
        <f>IF(Market!$A$23="","",Market!$A$23)</f>
        <v>IRS vs Euribor 3M</v>
      </c>
      <c r="B21" s="5" t="str">
        <f>IF(Market!$A$23="","",Market!$B$23)</f>
        <v>1Y</v>
      </c>
      <c r="C21" s="26">
        <f>IF(Market!$A$23="","",Market!$D$23+MktShift/10000)</f>
        <v>0.0203</v>
      </c>
      <c r="D21" s="23">
        <f>IF(Market!$A$23="","",EDATE(ValDate,Market!$C$23))</f>
        <v>46681</v>
      </c>
      <c r="E21" s="5" t="str">
        <f>IF(Market!$A$23="","",IF(LEFT(A21,3)="OIS","ESTR","EURIBOR"))</f>
        <v>EURIBOR</v>
      </c>
      <c r="F21" s="27">
        <f>IF(Market!$A$23="","",IR_DF(E21,D21,MktData,MktShift))</f>
        <v>0.980093912868642</v>
      </c>
      <c r="G21" s="26">
        <f>IF(Market!$A$23="","",-LN(F21)/((D21-ValDate)/365))</f>
        <v>0.0201068824510704</v>
      </c>
      <c r="H21" s="26">
        <f>IF(Market!$A$23="","",IR_QUOTE(A21,Market!$C$23,MktData,MktShift))</f>
        <v>0.0203000000000005</v>
      </c>
      <c r="I21" s="27">
        <f>IF(Market!$A$23="","",(H21-C21)*10000)</f>
        <v>4.54497550705923e-12</v>
      </c>
      <c r="K21" s="24">
        <f>17/4</f>
        <v>4.25</v>
      </c>
      <c r="L21" s="23">
        <f>EDATE(ValDate,3*17)</f>
        <v>47869</v>
      </c>
      <c r="M21" s="26">
        <f>-LN(IR_DF("ESTR",L21,MktData,MktShift))/((L21-ValDate)/365)</f>
        <v>0.0211234092204911</v>
      </c>
      <c r="N21" s="26">
        <f>(IR_DF("EURIBOR",L21,MktData,MktShift)/IR_DF("EURIBOR",EDATE(L21,3),MktData,MktShift)-1)/((EDATE(L21,3)-L21)/360)</f>
        <v>0.025473601715408</v>
      </c>
    </row>
    <row r="22" spans="1:14">
      <c r="A22" s="5" t="str">
        <f>IF(Market!$A$24="","",Market!$A$24)</f>
        <v>IRS vs Euribor 3M</v>
      </c>
      <c r="B22" s="5" t="str">
        <f>IF(Market!$A$24="","",Market!$B$24)</f>
        <v>2Y</v>
      </c>
      <c r="C22" s="26">
        <f>IF(Market!$A$24="","",Market!$D$24+MktShift/10000)</f>
        <v>0.0208</v>
      </c>
      <c r="D22" s="23">
        <f>IF(Market!$A$24="","",EDATE(ValDate,Market!$C$24))</f>
        <v>47047</v>
      </c>
      <c r="E22" s="5" t="str">
        <f>IF(Market!$A$24="","",IF(LEFT(A22,3)="OIS","ESTR","EURIBOR"))</f>
        <v>EURIBOR</v>
      </c>
      <c r="F22" s="27">
        <f>IF(Market!$A$24="","",IR_DF(E22,D22,MktData,MktShift))</f>
        <v>0.959634402998549</v>
      </c>
      <c r="G22" s="26">
        <f>IF(Market!$A$24="","",-LN(F22)/((D22-ValDate)/365))</f>
        <v>0.0205732660759016</v>
      </c>
      <c r="H22" s="26">
        <f>IF(Market!$A$24="","",IR_QUOTE(A22,Market!$C$24,MktData,MktShift))</f>
        <v>0.0208000000000001</v>
      </c>
      <c r="I22" s="27">
        <f>IF(Market!$A$24="","",(H22-C22)*10000)</f>
        <v>0</v>
      </c>
      <c r="K22" s="24">
        <f>18/4</f>
        <v>4.5</v>
      </c>
      <c r="L22" s="23">
        <f>EDATE(ValDate,3*18)</f>
        <v>47959</v>
      </c>
      <c r="M22" s="26">
        <f>-LN(IR_DF("ESTR",L22,MktData,MktShift))/((L22-ValDate)/365)</f>
        <v>0.0213087422311247</v>
      </c>
      <c r="N22" s="26">
        <f>(IR_DF("EURIBOR",L22,MktData,MktShift)/IR_DF("EURIBOR",EDATE(L22,3),MktData,MktShift)-1)/((EDATE(L22,3)-L22)/360)</f>
        <v>0.0254745010855359</v>
      </c>
    </row>
    <row r="23" spans="1:14">
      <c r="A23" s="5" t="str">
        <f>IF(Market!$A$25="","",Market!$A$25)</f>
        <v>IRS vs Euribor 3M</v>
      </c>
      <c r="B23" s="5" t="str">
        <f>IF(Market!$A$25="","",Market!$B$25)</f>
        <v>3Y</v>
      </c>
      <c r="C23" s="26">
        <f>IF(Market!$A$25="","",Market!$D$25+MktShift/10000)</f>
        <v>0.0216</v>
      </c>
      <c r="D23" s="23">
        <f>IF(Market!$A$25="","",EDATE(ValDate,Market!$C$25))</f>
        <v>47412</v>
      </c>
      <c r="E23" s="5" t="str">
        <f>IF(Market!$A$25="","",IF(LEFT(A23,3)="OIS","ESTR","EURIBOR"))</f>
        <v>EURIBOR</v>
      </c>
      <c r="F23" s="27">
        <f>IF(Market!$A$25="","",IR_DF(E23,D23,MktData,MktShift))</f>
        <v>0.937818202810055</v>
      </c>
      <c r="G23" s="26">
        <f>IF(Market!$A$25="","",-LN(F23)/((D23-ValDate)/365))</f>
        <v>0.0213801955058135</v>
      </c>
      <c r="H23" s="26">
        <f>IF(Market!$A$25="","",IR_QUOTE(A23,Market!$C$25,MktData,MktShift))</f>
        <v>0.0216</v>
      </c>
      <c r="I23" s="27">
        <f>IF(Market!$A$25="","",(H23-C23)*10000)</f>
        <v>0</v>
      </c>
      <c r="K23" s="24">
        <f>19/4</f>
        <v>4.75</v>
      </c>
      <c r="L23" s="23">
        <f>EDATE(ValDate,3*19)</f>
        <v>48050</v>
      </c>
      <c r="M23" s="26">
        <f>-LN(IR_DF("ESTR",L23,MktData,MktShift))/((L23-ValDate)/365)</f>
        <v>0.0214765739436826</v>
      </c>
      <c r="N23" s="26">
        <f>(IR_DF("EURIBOR",L23,MktData,MktShift)/IR_DF("EURIBOR",EDATE(L23,3),MktData,MktShift)-1)/((EDATE(L23,3)-L23)/360)</f>
        <v>0.0254754004979805</v>
      </c>
    </row>
    <row r="24" spans="1:14">
      <c r="A24" s="5" t="str">
        <f>IF(Market!$A$26="","",Market!$A$26)</f>
        <v>IRS vs Euribor 3M</v>
      </c>
      <c r="B24" s="5" t="str">
        <f>IF(Market!$A$26="","",Market!$B$26)</f>
        <v>4Y</v>
      </c>
      <c r="C24" s="26">
        <f>IF(Market!$A$26="","",Market!$D$26+MktShift/10000)</f>
        <v>0.0224</v>
      </c>
      <c r="D24" s="23">
        <f>IF(Market!$A$26="","",EDATE(ValDate,Market!$C$26))</f>
        <v>47777</v>
      </c>
      <c r="E24" s="5" t="str">
        <f>IF(Market!$A$26="","",IF(LEFT(A24,3)="OIS","ESTR","EURIBOR"))</f>
        <v>EURIBOR</v>
      </c>
      <c r="F24" s="27">
        <f>IF(Market!$A$26="","",IR_DF(E24,D24,MktData,MktShift))</f>
        <v>0.915014898868146</v>
      </c>
      <c r="G24" s="26">
        <f>IF(Market!$A$26="","",-LN(F24)/((D24-ValDate)/365))</f>
        <v>0.0221885351040102</v>
      </c>
      <c r="H24" s="26">
        <f>IF(Market!$A$26="","",IR_QUOTE(A24,Market!$C$26,MktData,MktShift))</f>
        <v>0.0223999999999999</v>
      </c>
      <c r="I24" s="27">
        <f>IF(Market!$A$26="","",(H24-C24)*10000)</f>
        <v>-1.11022302462516e-12</v>
      </c>
      <c r="K24" s="24">
        <f>20/4</f>
        <v>5</v>
      </c>
      <c r="L24" s="23">
        <f>EDATE(ValDate,3*20)</f>
        <v>48142</v>
      </c>
      <c r="M24" s="26">
        <f>-LN(IR_DF("ESTR",L24,MktData,MktShift))/((L24-ValDate)/365)</f>
        <v>0.0216292451901674</v>
      </c>
      <c r="N24" s="26">
        <f>(IR_DF("EURIBOR",L24,MktData,MktShift)/IR_DF("EURIBOR",EDATE(L24,3),MktData,MktShift)-1)/((EDATE(L24,3)-L24)/360)</f>
        <v>0.0268487769808275</v>
      </c>
    </row>
    <row r="25" spans="1:14">
      <c r="A25" s="5" t="str">
        <f>IF(Market!$A$27="","",Market!$A$27)</f>
        <v>IRS vs Euribor 3M</v>
      </c>
      <c r="B25" s="5" t="str">
        <f>IF(Market!$A$27="","",Market!$B$27)</f>
        <v>5Y</v>
      </c>
      <c r="C25" s="26">
        <f>IF(Market!$A$27="","",Market!$D$27+MktShift/10000)</f>
        <v>0.0231</v>
      </c>
      <c r="D25" s="23">
        <f>IF(Market!$A$27="","",EDATE(ValDate,Market!$C$27))</f>
        <v>48142</v>
      </c>
      <c r="E25" s="5" t="str">
        <f>IF(Market!$A$27="","",IF(LEFT(A25,3)="OIS","ESTR","EURIBOR"))</f>
        <v>EURIBOR</v>
      </c>
      <c r="F25" s="27">
        <f>IF(Market!$A$27="","",IR_DF(E25,D25,MktData,MktShift))</f>
        <v>0.891758038450474</v>
      </c>
      <c r="G25" s="26">
        <f>IF(Market!$A$27="","",-LN(F25)/((D25-ValDate)/365))</f>
        <v>0.0228995404149365</v>
      </c>
      <c r="H25" s="26">
        <f>IF(Market!$A$27="","",IR_QUOTE(A25,Market!$C$27,MktData,MktShift))</f>
        <v>0.0231</v>
      </c>
      <c r="I25" s="27">
        <f>IF(Market!$A$27="","",(H25-C25)*10000)</f>
        <v>0</v>
      </c>
      <c r="K25" s="24">
        <f>21/4</f>
        <v>5.25</v>
      </c>
      <c r="L25" s="23">
        <f>EDATE(ValDate,3*21)</f>
        <v>48234</v>
      </c>
      <c r="M25" s="26">
        <f>-LN(IR_DF("ESTR",L25,MktData,MktShift))/((L25-ValDate)/365)</f>
        <v>0.0218377192293207</v>
      </c>
      <c r="N25" s="26">
        <f>(IR_DF("EURIBOR",L25,MktData,MktShift)/IR_DF("EURIBOR",EDATE(L25,3),MktData,MktShift)-1)/((EDATE(L25,3)-L25)/360)</f>
        <v>0.0268477780975705</v>
      </c>
    </row>
    <row r="26" spans="1:14">
      <c r="A26" s="5" t="str">
        <f>IF(Market!$A$28="","",Market!$A$28)</f>
        <v>IRS vs Euribor 3M</v>
      </c>
      <c r="B26" s="5" t="str">
        <f>IF(Market!$A$28="","",Market!$B$28)</f>
        <v>6Y</v>
      </c>
      <c r="C26" s="26">
        <f>IF(Market!$A$28="","",Market!$D$28+MktShift/10000)</f>
        <v>0.0238</v>
      </c>
      <c r="D26" s="23">
        <f>IF(Market!$A$28="","",EDATE(ValDate,Market!$C$28))</f>
        <v>48508</v>
      </c>
      <c r="E26" s="5" t="str">
        <f>IF(Market!$A$28="","",IF(LEFT(A26,3)="OIS","ESTR","EURIBOR"))</f>
        <v>EURIBOR</v>
      </c>
      <c r="F26" s="27">
        <f>IF(Market!$A$28="","",IR_DF(E26,D26,MktData,MktShift))</f>
        <v>0.867826491700256</v>
      </c>
      <c r="G26" s="26">
        <f>IF(Market!$A$28="","",-LN(F26)/((D26-ValDate)/365))</f>
        <v>0.0236056887363698</v>
      </c>
      <c r="H26" s="26">
        <f>IF(Market!$A$28="","",IR_QUOTE(A26,Market!$C$28,MktData,MktShift))</f>
        <v>0.0238</v>
      </c>
      <c r="I26" s="27">
        <f>IF(Market!$A$28="","",(H26-C26)*10000)</f>
        <v>0</v>
      </c>
      <c r="K26" s="24">
        <f>22/4</f>
        <v>5.5</v>
      </c>
      <c r="L26" s="23">
        <f>EDATE(ValDate,3*22)</f>
        <v>48325</v>
      </c>
      <c r="M26" s="26">
        <f>-LN(IR_DF("ESTR",L26,MktData,MktShift))/((L26-ValDate)/365)</f>
        <v>0.0220251437385398</v>
      </c>
      <c r="N26" s="26">
        <f>(IR_DF("EURIBOR",L26,MktData,MktShift)/IR_DF("EURIBOR",EDATE(L26,3),MktData,MktShift)-1)/((EDATE(L26,3)-L26)/360)</f>
        <v>0.0268477780975705</v>
      </c>
    </row>
    <row r="27" spans="1:14">
      <c r="A27" s="5" t="str">
        <f>IF(Market!$A$29="","",Market!$A$29)</f>
        <v>IRS vs Euribor 3M</v>
      </c>
      <c r="B27" s="5" t="str">
        <f>IF(Market!$A$29="","",Market!$B$29)</f>
        <v>7Y</v>
      </c>
      <c r="C27" s="26">
        <f>IF(Market!$A$29="","",Market!$D$29+MktShift/10000)</f>
        <v>0.0245</v>
      </c>
      <c r="D27" s="23">
        <f>IF(Market!$A$29="","",EDATE(ValDate,Market!$C$29))</f>
        <v>48873</v>
      </c>
      <c r="E27" s="5" t="str">
        <f>IF(Market!$A$29="","",IF(LEFT(A27,3)="OIS","ESTR","EURIBOR"))</f>
        <v>EURIBOR</v>
      </c>
      <c r="F27" s="27">
        <f>IF(Market!$A$29="","",IR_DF(E27,D27,MktData,MktShift))</f>
        <v>0.843285259182131</v>
      </c>
      <c r="G27" s="26">
        <f>IF(Market!$A$29="","",-LN(F27)/((D27-ValDate)/365))</f>
        <v>0.0243309531692227</v>
      </c>
      <c r="H27" s="26">
        <f>IF(Market!$A$29="","",IR_QUOTE(A27,Market!$C$29,MktData,MktShift))</f>
        <v>0.0245</v>
      </c>
      <c r="I27" s="27">
        <f>IF(Market!$A$29="","",(H27-C27)*10000)</f>
        <v>0</v>
      </c>
      <c r="K27" s="24">
        <f>23/4</f>
        <v>5.75</v>
      </c>
      <c r="L27" s="23">
        <f>EDATE(ValDate,3*23)</f>
        <v>48416</v>
      </c>
      <c r="M27" s="26">
        <f>-LN(IR_DF("ESTR",L27,MktData,MktShift))/((L27-ValDate)/365)</f>
        <v>0.0221963247902932</v>
      </c>
      <c r="N27" s="26">
        <f>(IR_DF("EURIBOR",L27,MktData,MktShift)/IR_DF("EURIBOR",EDATE(L27,3),MktData,MktShift)-1)/((EDATE(L27,3)-L27)/360)</f>
        <v>0.0268487769808266</v>
      </c>
    </row>
    <row r="28" spans="1:14">
      <c r="A28" s="5" t="str">
        <f>IF(Market!$A$30="","",Market!$A$30)</f>
        <v>IRS vs Euribor 3M</v>
      </c>
      <c r="B28" s="5" t="str">
        <f>IF(Market!$A$30="","",Market!$B$30)</f>
        <v>8Y</v>
      </c>
      <c r="C28" s="26">
        <f>IF(Market!$A$30="","",Market!$D$30+MktShift/10000)</f>
        <v>0.0251</v>
      </c>
      <c r="D28" s="23">
        <f>IF(Market!$A$30="","",EDATE(ValDate,Market!$C$30))</f>
        <v>49238</v>
      </c>
      <c r="E28" s="5" t="str">
        <f>IF(Market!$A$30="","",IF(LEFT(A28,3)="OIS","ESTR","EURIBOR"))</f>
        <v>EURIBOR</v>
      </c>
      <c r="F28" s="27">
        <f>IF(Market!$A$30="","",IR_DF(E28,D28,MktData,MktShift))</f>
        <v>0.818901605883154</v>
      </c>
      <c r="G28" s="26">
        <f>IF(Market!$A$30="","",-LN(F28)/((D28-ValDate)/365))</f>
        <v>0.0249568239953328</v>
      </c>
      <c r="H28" s="26">
        <f>IF(Market!$A$30="","",IR_QUOTE(A28,Market!$C$30,MktData,MktShift))</f>
        <v>0.0250999999999999</v>
      </c>
      <c r="I28" s="27">
        <f>IF(Market!$A$30="","",(H28-C28)*10000)</f>
        <v>0</v>
      </c>
      <c r="K28" s="24">
        <f>24/4</f>
        <v>6</v>
      </c>
      <c r="L28" s="23">
        <f>EDATE(ValDate,3*24)</f>
        <v>48508</v>
      </c>
      <c r="M28" s="26">
        <f>-LN(IR_DF("ESTR",L28,MktData,MktShift))/((L28-ValDate)/365)</f>
        <v>0.0223549387884156</v>
      </c>
      <c r="N28" s="26">
        <f>(IR_DF("EURIBOR",L28,MktData,MktShift)/IR_DF("EURIBOR",EDATE(L28,3),MktData,MktShift)-1)/((EDATE(L28,3)-L28)/360)</f>
        <v>0.0283960841449043</v>
      </c>
    </row>
    <row r="29" spans="1:14">
      <c r="A29" s="5" t="str">
        <f>IF(Market!$A$31="","",Market!$A$31)</f>
        <v>IRS vs Euribor 3M</v>
      </c>
      <c r="B29" s="5" t="str">
        <f>IF(Market!$A$31="","",Market!$B$31)</f>
        <v>10Y</v>
      </c>
      <c r="C29" s="26">
        <f>IF(Market!$A$31="","",Market!$D$31+MktShift/10000)</f>
        <v>0.0262</v>
      </c>
      <c r="D29" s="23">
        <f>IF(Market!$A$31="","",EDATE(ValDate,Market!$C$31))</f>
        <v>49969</v>
      </c>
      <c r="E29" s="5" t="str">
        <f>IF(Market!$A$31="","",IF(LEFT(A29,3)="OIS","ESTR","EURIBOR"))</f>
        <v>EURIBOR</v>
      </c>
      <c r="F29" s="27">
        <f>IF(Market!$A$31="","",IR_DF(E29,D29,MktData,MktShift))</f>
        <v>0.770016453155807</v>
      </c>
      <c r="G29" s="26">
        <f>IF(Market!$A$31="","",-LN(F29)/((D29-ValDate)/365))</f>
        <v>0.0261128770241381</v>
      </c>
      <c r="H29" s="26">
        <f>IF(Market!$A$31="","",IR_QUOTE(A29,Market!$C$31,MktData,MktShift))</f>
        <v>0.0261999999999999</v>
      </c>
      <c r="I29" s="27">
        <f>IF(Market!$A$31="","",(H29-C29)*10000)</f>
        <v>-1.11022302462516e-12</v>
      </c>
      <c r="K29" s="24">
        <f>25/4</f>
        <v>6.25</v>
      </c>
      <c r="L29" s="23">
        <f>EDATE(ValDate,3*25)</f>
        <v>48600</v>
      </c>
      <c r="M29" s="26">
        <f>-LN(IR_DF("ESTR",L29,MktData,MktShift))/((L29-ValDate)/365)</f>
        <v>0.0225619169759457</v>
      </c>
      <c r="N29" s="26">
        <f>(IR_DF("EURIBOR",L29,MktData,MktShift)/IR_DF("EURIBOR",EDATE(L29,3),MktData,MktShift)-1)/((EDATE(L29,3)-L29)/360)</f>
        <v>0.0283938498337921</v>
      </c>
    </row>
    <row r="30" spans="1:14">
      <c r="A30" s="5" t="str">
        <f>IF(Market!$A$32="","",Market!$A$32)</f>
        <v>IRS vs Euribor 3M</v>
      </c>
      <c r="B30" s="5" t="str">
        <f>IF(Market!$A$32="","",Market!$B$32)</f>
        <v>12Y</v>
      </c>
      <c r="C30" s="26">
        <f>IF(Market!$A$32="","",Market!$D$32+MktShift/10000)</f>
        <v>0.027</v>
      </c>
      <c r="D30" s="23">
        <f>IF(Market!$A$32="","",EDATE(ValDate,Market!$C$32))</f>
        <v>50699</v>
      </c>
      <c r="E30" s="5" t="str">
        <f>IF(Market!$A$32="","",IF(LEFT(A30,3)="OIS","ESTR","EURIBOR"))</f>
        <v>EURIBOR</v>
      </c>
      <c r="F30" s="27">
        <f>IF(Market!$A$32="","",IR_DF(E30,D30,MktData,MktShift))</f>
        <v>0.723342495526504</v>
      </c>
      <c r="G30" s="26">
        <f>IF(Market!$A$32="","",-LN(F30)/((D30-ValDate)/365))</f>
        <v>0.0269708979963159</v>
      </c>
      <c r="H30" s="26">
        <f>IF(Market!$A$32="","",IR_QUOTE(A30,Market!$C$32,MktData,MktShift))</f>
        <v>0.027</v>
      </c>
      <c r="I30" s="27">
        <f>IF(Market!$A$32="","",(H30-C30)*10000)</f>
        <v>0</v>
      </c>
      <c r="K30" s="24">
        <f>26/4</f>
        <v>6.5</v>
      </c>
      <c r="L30" s="23">
        <f>EDATE(ValDate,3*26)</f>
        <v>48690</v>
      </c>
      <c r="M30" s="26">
        <f>-LN(IR_DF("ESTR",L30,MktData,MktShift))/((L30-ValDate)/365)</f>
        <v>0.0227488728421957</v>
      </c>
      <c r="N30" s="26">
        <f>(IR_DF("EURIBOR",L30,MktData,MktShift)/IR_DF("EURIBOR",EDATE(L30,3),MktData,MktShift)-1)/((EDATE(L30,3)-L30)/360)</f>
        <v>0.0283949669600642</v>
      </c>
    </row>
    <row r="31" spans="1:14">
      <c r="A31" s="5" t="str">
        <f>IF(Market!$A$33="","",Market!$A$33)</f>
        <v>IRS vs Euribor 3M</v>
      </c>
      <c r="B31" s="5" t="str">
        <f>IF(Market!$A$33="","",Market!$B$33)</f>
        <v>15Y</v>
      </c>
      <c r="C31" s="26">
        <f>IF(Market!$A$33="","",Market!$D$33+MktShift/10000)</f>
        <v>0.0278</v>
      </c>
      <c r="D31" s="23">
        <f>IF(Market!$A$33="","",EDATE(ValDate,Market!$C$33))</f>
        <v>51795</v>
      </c>
      <c r="E31" s="5" t="str">
        <f>IF(Market!$A$33="","",IF(LEFT(A31,3)="OIS","ESTR","EURIBOR"))</f>
        <v>EURIBOR</v>
      </c>
      <c r="F31" s="27">
        <f>IF(Market!$A$33="","",IR_DF(E31,D31,MktData,MktShift))</f>
        <v>0.658490341495164</v>
      </c>
      <c r="G31" s="26">
        <f>IF(Market!$A$33="","",-LN(F31)/((D31-ValDate)/365))</f>
        <v>0.0278333601476517</v>
      </c>
      <c r="H31" s="26">
        <f>IF(Market!$A$33="","",IR_QUOTE(A31,Market!$C$33,MktData,MktShift))</f>
        <v>0.0278</v>
      </c>
      <c r="I31" s="27">
        <f>IF(Market!$A$33="","",(H31-C31)*10000)</f>
        <v>0</v>
      </c>
      <c r="K31" s="24">
        <f>27/4</f>
        <v>6.75</v>
      </c>
      <c r="L31" s="23">
        <f>EDATE(ValDate,3*27)</f>
        <v>48781</v>
      </c>
      <c r="M31" s="26">
        <f>-LN(IR_DF("ESTR",L31,MktData,MktShift))/((L31-ValDate)/365)</f>
        <v>0.0229240256709758</v>
      </c>
      <c r="N31" s="26">
        <f>(IR_DF("EURIBOR",L31,MktData,MktShift)/IR_DF("EURIBOR",EDATE(L31,3),MktData,MktShift)-1)/((EDATE(L31,3)-L31)/360)</f>
        <v>0.0283960841449043</v>
      </c>
    </row>
    <row r="32" spans="1:14">
      <c r="A32" s="5" t="str">
        <f>IF(Market!$A$34="","",Market!$A$34)</f>
        <v>IRS vs Euribor 3M</v>
      </c>
      <c r="B32" s="5" t="str">
        <f>IF(Market!$A$34="","",Market!$B$34)</f>
        <v>20Y</v>
      </c>
      <c r="C32" s="26">
        <f>IF(Market!$A$34="","",Market!$D$34+MktShift/10000)</f>
        <v>0.0281</v>
      </c>
      <c r="D32" s="23">
        <f>IF(Market!$A$34="","",EDATE(ValDate,Market!$C$34))</f>
        <v>53621</v>
      </c>
      <c r="E32" s="5" t="str">
        <f>IF(Market!$A$34="","",IF(LEFT(A32,3)="OIS","ESTR","EURIBOR"))</f>
        <v>EURIBOR</v>
      </c>
      <c r="F32" s="27">
        <f>IF(Market!$A$34="","",IR_DF(E32,D32,MktData,MktShift))</f>
        <v>0.569909798977311</v>
      </c>
      <c r="G32" s="26">
        <f>IF(Market!$A$34="","",-LN(F32)/((D32-ValDate)/365))</f>
        <v>0.028094616016528</v>
      </c>
      <c r="H32" s="26">
        <f>IF(Market!$A$34="","",IR_QUOTE(A32,Market!$C$34,MktData,MktShift))</f>
        <v>0.0281</v>
      </c>
      <c r="I32" s="27">
        <f>IF(Market!$A$34="","",(H32-C32)*10000)</f>
        <v>0</v>
      </c>
      <c r="K32" s="24">
        <f>28/4</f>
        <v>7</v>
      </c>
      <c r="L32" s="23">
        <f>EDATE(ValDate,3*28)</f>
        <v>48873</v>
      </c>
      <c r="M32" s="26">
        <f>-LN(IR_DF("ESTR",L32,MktData,MktShift))/((L32-ValDate)/365)</f>
        <v>0.0230884301242895</v>
      </c>
      <c r="N32" s="26">
        <f>(IR_DF("EURIBOR",L32,MktData,MktShift)/IR_DF("EURIBOR",EDATE(L32,3),MktData,MktShift)-1)/((EDATE(L32,3)-L32)/360)</f>
        <v>0.0290466897761659</v>
      </c>
    </row>
    <row r="33" spans="11:14">
      <c r="K33" s="24">
        <f>29/4</f>
        <v>7.25</v>
      </c>
      <c r="L33" s="23">
        <f>EDATE(ValDate,3*29)</f>
        <v>48965</v>
      </c>
      <c r="M33" s="26">
        <f>-LN(IR_DF("ESTR",L33,MktData,MktShift))/((L33-ValDate)/365)</f>
        <v>0.0232644770986424</v>
      </c>
      <c r="N33" s="26">
        <f>(IR_DF("EURIBOR",L33,MktData,MktShift)/IR_DF("EURIBOR",EDATE(L33,3),MktData,MktShift)-1)/((EDATE(L33,3)-L33)/360)</f>
        <v>0.029044352039671</v>
      </c>
    </row>
    <row r="34" spans="11:14">
      <c r="K34" s="24">
        <f>30/4</f>
        <v>7.5</v>
      </c>
      <c r="L34" s="23">
        <f>EDATE(ValDate,3*30)</f>
        <v>49055</v>
      </c>
      <c r="M34" s="26">
        <f>-LN(IR_DF("ESTR",L34,MktData,MktShift))/((L34-ValDate)/365)</f>
        <v>0.023425253366591</v>
      </c>
      <c r="N34" s="26">
        <f>(IR_DF("EURIBOR",L34,MktData,MktShift)/IR_DF("EURIBOR",EDATE(L34,3),MktData,MktShift)-1)/((EDATE(L34,3)-L34)/360)</f>
        <v>0.0290455208765787</v>
      </c>
    </row>
    <row r="35" spans="11:14">
      <c r="K35" s="24">
        <f>31/4</f>
        <v>7.75</v>
      </c>
      <c r="L35" s="23">
        <f>EDATE(ValDate,3*31)</f>
        <v>49146</v>
      </c>
      <c r="M35" s="26">
        <f>-LN(IR_DF("ESTR",L35,MktData,MktShift))/((L35-ValDate)/365)</f>
        <v>0.0235774189196943</v>
      </c>
      <c r="N35" s="26">
        <f>(IR_DF("EURIBOR",L35,MktData,MktShift)/IR_DF("EURIBOR",EDATE(L35,3),MktData,MktShift)-1)/((EDATE(L35,3)-L35)/360)</f>
        <v>0.0290466897761667</v>
      </c>
    </row>
    <row r="36" spans="11:14">
      <c r="K36" s="24">
        <f>32/4</f>
        <v>8</v>
      </c>
      <c r="L36" s="23">
        <f>EDATE(ValDate,3*32)</f>
        <v>49238</v>
      </c>
      <c r="M36" s="26">
        <f>-LN(IR_DF("ESTR",L36,MktData,MktShift))/((L36-ValDate)/365)</f>
        <v>0.0237216220223239</v>
      </c>
      <c r="N36" s="26">
        <f>(IR_DF("EURIBOR",L36,MktData,MktShift)/IR_DF("EURIBOR",EDATE(L36,3),MktData,MktShift)-1)/((EDATE(L36,3)-L36)/360)</f>
        <v>0.0304306288002145</v>
      </c>
    </row>
    <row r="37" spans="11:14">
      <c r="K37" s="24">
        <f>33/4</f>
        <v>8.25</v>
      </c>
      <c r="L37" s="23">
        <f>EDATE(ValDate,3*33)</f>
        <v>49330</v>
      </c>
      <c r="M37" s="26">
        <f>-LN(IR_DF("ESTR",L37,MktData,MktShift))/((L37-ValDate)/365)</f>
        <v>0.0239182001382514</v>
      </c>
      <c r="N37" s="26">
        <f>(IR_DF("EURIBOR",L37,MktData,MktShift)/IR_DF("EURIBOR",EDATE(L37,3),MktData,MktShift)-1)/((EDATE(L37,3)-L37)/360)</f>
        <v>0.0304280632999161</v>
      </c>
    </row>
    <row r="38" spans="11:14">
      <c r="K38" s="24">
        <f>34/4</f>
        <v>8.5</v>
      </c>
      <c r="L38" s="23">
        <f>EDATE(ValDate,3*34)</f>
        <v>49420</v>
      </c>
      <c r="M38" s="26">
        <f>-LN(IR_DF("ESTR",L38,MktData,MktShift))/((L38-ValDate)/365)</f>
        <v>0.0240992292203846</v>
      </c>
      <c r="N38" s="26">
        <f>(IR_DF("EURIBOR",L38,MktData,MktShift)/IR_DF("EURIBOR",EDATE(L38,3),MktData,MktShift)-1)/((EDATE(L38,3)-L38)/360)</f>
        <v>0.0304293460140388</v>
      </c>
    </row>
    <row r="39" spans="11:14">
      <c r="K39" s="24">
        <f>35/4</f>
        <v>8.75</v>
      </c>
      <c r="L39" s="23">
        <f>EDATE(ValDate,3*35)</f>
        <v>49511</v>
      </c>
      <c r="M39" s="26">
        <f>-LN(IR_DF("ESTR",L39,MktData,MktShift))/((L39-ValDate)/365)</f>
        <v>0.0242719003053194</v>
      </c>
      <c r="N39" s="26">
        <f>(IR_DF("EURIBOR",L39,MktData,MktShift)/IR_DF("EURIBOR",EDATE(L39,3),MktData,MktShift)-1)/((EDATE(L39,3)-L39)/360)</f>
        <v>0.0304306288002145</v>
      </c>
    </row>
    <row r="40" spans="11:14">
      <c r="K40" s="24">
        <f>36/4</f>
        <v>9</v>
      </c>
      <c r="L40" s="23">
        <f>EDATE(ValDate,3*36)</f>
        <v>49603</v>
      </c>
      <c r="M40" s="26">
        <f>-LN(IR_DF("ESTR",L40,MktData,MktShift))/((L40-ValDate)/365)</f>
        <v>0.0244367499674337</v>
      </c>
      <c r="N40" s="26">
        <f>(IR_DF("EURIBOR",L40,MktData,MktShift)/IR_DF("EURIBOR",EDATE(L40,3),MktData,MktShift)-1)/((EDATE(L40,3)-L40)/360)</f>
        <v>0.0304306288002145</v>
      </c>
    </row>
    <row r="41" spans="11:14">
      <c r="K41" s="24">
        <f>37/4</f>
        <v>9.25</v>
      </c>
      <c r="L41" s="23">
        <f>EDATE(ValDate,3*37)</f>
        <v>49695</v>
      </c>
      <c r="M41" s="26">
        <f>-LN(IR_DF("ESTR",L41,MktData,MktShift))/((L41-ValDate)/365)</f>
        <v>0.0245926229092672</v>
      </c>
      <c r="N41" s="26">
        <f>(IR_DF("EURIBOR",L41,MktData,MktShift)/IR_DF("EURIBOR",EDATE(L41,3),MktData,MktShift)-1)/((EDATE(L41,3)-L41)/360)</f>
        <v>0.0304293460140379</v>
      </c>
    </row>
    <row r="42" spans="11:14">
      <c r="K42" s="24">
        <f>38/4</f>
        <v>9.5</v>
      </c>
      <c r="L42" s="23">
        <f>EDATE(ValDate,3*38)</f>
        <v>49786</v>
      </c>
      <c r="M42" s="26">
        <f>-LN(IR_DF("ESTR",L42,MktData,MktShift))/((L42-ValDate)/365)</f>
        <v>0.0247386705434685</v>
      </c>
      <c r="N42" s="26">
        <f>(IR_DF("EURIBOR",L42,MktData,MktShift)/IR_DF("EURIBOR",EDATE(L42,3),MktData,MktShift)-1)/((EDATE(L42,3)-L42)/360)</f>
        <v>0.0304293460140388</v>
      </c>
    </row>
    <row r="43" spans="11:14">
      <c r="K43" s="24">
        <f>39/4</f>
        <v>9.75</v>
      </c>
      <c r="L43" s="23">
        <f>EDATE(ValDate,3*39)</f>
        <v>49877</v>
      </c>
      <c r="M43" s="26">
        <f>-LN(IR_DF("ESTR",L43,MktData,MktShift))/((L43-ValDate)/365)</f>
        <v>0.0248772537942312</v>
      </c>
      <c r="N43" s="26">
        <f>(IR_DF("EURIBOR",L43,MktData,MktShift)/IR_DF("EURIBOR",EDATE(L43,3),MktData,MktShift)-1)/((EDATE(L43,3)-L43)/360)</f>
        <v>0.0304306288002145</v>
      </c>
    </row>
    <row r="44" spans="11:14">
      <c r="K44" s="24">
        <f>40/4</f>
        <v>10</v>
      </c>
      <c r="L44" s="23">
        <f>EDATE(ValDate,3*40)</f>
        <v>49969</v>
      </c>
      <c r="M44" s="26">
        <f>-LN(IR_DF("ESTR",L44,MktData,MktShift))/((L44-ValDate)/365)</f>
        <v>0.0250103412068756</v>
      </c>
      <c r="N44" s="26">
        <f>(IR_DF("EURIBOR",L44,MktData,MktShift)/IR_DF("EURIBOR",EDATE(L44,3),MktData,MktShift)-1)/((EDATE(L44,3)-L44)/360)</f>
        <v>0.0309580681275655</v>
      </c>
    </row>
    <row r="45" spans="11:14">
      <c r="K45" s="24">
        <f>41/4</f>
        <v>10.25</v>
      </c>
      <c r="L45" s="23">
        <f>EDATE(ValDate,3*41)</f>
        <v>50061</v>
      </c>
      <c r="M45" s="26">
        <f>-LN(IR_DF("ESTR",L45,MktData,MktShift))/((L45-ValDate)/365)</f>
        <v>0.0251550308564177</v>
      </c>
      <c r="N45" s="26">
        <f>(IR_DF("EURIBOR",L45,MktData,MktShift)/IR_DF("EURIBOR",EDATE(L45,3),MktData,MktShift)-1)/((EDATE(L45,3)-L45)/360)</f>
        <v>0.0309554130446585</v>
      </c>
    </row>
    <row r="46" spans="11:14">
      <c r="K46" s="24">
        <f>42/4</f>
        <v>10.5</v>
      </c>
      <c r="L46" s="23">
        <f>EDATE(ValDate,3*42)</f>
        <v>50151</v>
      </c>
      <c r="M46" s="26">
        <f>-LN(IR_DF("ESTR",L46,MktData,MktShift))/((L46-ValDate)/365)</f>
        <v>0.0252898577258695</v>
      </c>
      <c r="N46" s="26">
        <f>(IR_DF("EURIBOR",L46,MktData,MktShift)/IR_DF("EURIBOR",EDATE(L46,3),MktData,MktShift)-1)/((EDATE(L46,3)-L46)/360)</f>
        <v>0.0309567405481825</v>
      </c>
    </row>
    <row r="47" spans="11:14">
      <c r="K47" s="24">
        <f>43/4</f>
        <v>10.75</v>
      </c>
      <c r="L47" s="23">
        <f>EDATE(ValDate,3*43)</f>
        <v>50242</v>
      </c>
      <c r="M47" s="26">
        <f>-LN(IR_DF("ESTR",L47,MktData,MktShift))/((L47-ValDate)/365)</f>
        <v>0.0254198976957988</v>
      </c>
      <c r="N47" s="26">
        <f>(IR_DF("EURIBOR",L47,MktData,MktShift)/IR_DF("EURIBOR",EDATE(L47,3),MktData,MktShift)-1)/((EDATE(L47,3)-L47)/360)</f>
        <v>0.0309580681275664</v>
      </c>
    </row>
    <row r="48" spans="11:14">
      <c r="K48" s="24">
        <f>44/4</f>
        <v>11</v>
      </c>
      <c r="L48" s="23">
        <f>EDATE(ValDate,3*44)</f>
        <v>50334</v>
      </c>
      <c r="M48" s="26">
        <f>-LN(IR_DF("ESTR",L48,MktData,MktShift))/((L48-ValDate)/365)</f>
        <v>0.0255453789154491</v>
      </c>
      <c r="N48" s="26">
        <f>(IR_DF("EURIBOR",L48,MktData,MktShift)/IR_DF("EURIBOR",EDATE(L48,3),MktData,MktShift)-1)/((EDATE(L48,3)-L48)/360)</f>
        <v>0.0309580681275655</v>
      </c>
    </row>
    <row r="49" spans="11:14">
      <c r="K49" s="24">
        <f>45/4</f>
        <v>11.25</v>
      </c>
      <c r="L49" s="23">
        <f>EDATE(ValDate,3*45)</f>
        <v>50426</v>
      </c>
      <c r="M49" s="26">
        <f>-LN(IR_DF("ESTR",L49,MktData,MktShift))/((L49-ValDate)/365)</f>
        <v>0.0256652424843899</v>
      </c>
      <c r="N49" s="26">
        <f>(IR_DF("EURIBOR",L49,MktData,MktShift)/IR_DF("EURIBOR",EDATE(L49,3),MktData,MktShift)-1)/((EDATE(L49,3)-L49)/360)</f>
        <v>0.0309554130446585</v>
      </c>
    </row>
    <row r="50" spans="11:14">
      <c r="K50" s="24">
        <f>46/4</f>
        <v>11.5</v>
      </c>
      <c r="L50" s="23">
        <f>EDATE(ValDate,3*46)</f>
        <v>50516</v>
      </c>
      <c r="M50" s="26">
        <f>-LN(IR_DF("ESTR",L50,MktData,MktShift))/((L50-ValDate)/365)</f>
        <v>0.0257774191505399</v>
      </c>
      <c r="N50" s="26">
        <f>(IR_DF("EURIBOR",L50,MktData,MktShift)/IR_DF("EURIBOR",EDATE(L50,3),MktData,MktShift)-1)/((EDATE(L50,3)-L50)/360)</f>
        <v>0.0309567405481834</v>
      </c>
    </row>
    <row r="51" spans="11:14">
      <c r="K51" s="24">
        <f>47/4</f>
        <v>11.75</v>
      </c>
      <c r="L51" s="23">
        <f>EDATE(ValDate,3*47)</f>
        <v>50607</v>
      </c>
      <c r="M51" s="26">
        <f>-LN(IR_DF("ESTR",L51,MktData,MktShift))/((L51-ValDate)/365)</f>
        <v>0.0258860578902969</v>
      </c>
      <c r="N51" s="26">
        <f>(IR_DF("EURIBOR",L51,MktData,MktShift)/IR_DF("EURIBOR",EDATE(L51,3),MktData,MktShift)-1)/((EDATE(L51,3)-L51)/360)</f>
        <v>0.0309580681275655</v>
      </c>
    </row>
    <row r="52" spans="11:14">
      <c r="K52" s="24">
        <f>48/4</f>
        <v>12</v>
      </c>
      <c r="L52" s="23">
        <f>EDATE(ValDate,3*48)</f>
        <v>50699</v>
      </c>
      <c r="M52" s="26">
        <f>-LN(IR_DF("ESTR",L52,MktData,MktShift))/((L52-ValDate)/365)</f>
        <v>0.0259913047081524</v>
      </c>
      <c r="N52" s="26">
        <f>(IR_DF("EURIBOR",L52,MktData,MktShift)/IR_DF("EURIBOR",EDATE(L52,3),MktData,MktShift)-1)/((EDATE(L52,3)-L52)/360)</f>
        <v>0.0309758555444684</v>
      </c>
    </row>
    <row r="53" spans="11:14">
      <c r="K53" s="24">
        <f>49/4</f>
        <v>12.25</v>
      </c>
      <c r="L53" s="23">
        <f>EDATE(ValDate,3*49)</f>
        <v>50791</v>
      </c>
      <c r="M53" s="26">
        <f>-LN(IR_DF("ESTR",L53,MktData,MktShift))/((L53-ValDate)/365)</f>
        <v>0.0260809279423871</v>
      </c>
      <c r="N53" s="26">
        <f>(IR_DF("EURIBOR",L53,MktData,MktShift)/IR_DF("EURIBOR",EDATE(L53,3),MktData,MktShift)-1)/((EDATE(L53,3)-L53)/360)</f>
        <v>0.0309731974137426</v>
      </c>
    </row>
    <row r="54" spans="11:14">
      <c r="K54" s="24">
        <f>50/4</f>
        <v>12.5</v>
      </c>
      <c r="L54" s="23">
        <f>EDATE(ValDate,3*50)</f>
        <v>50881</v>
      </c>
      <c r="M54" s="26">
        <f>-LN(IR_DF("ESTR",L54,MktData,MktShift))/((L54-ValDate)/365)</f>
        <v>0.0261651073728565</v>
      </c>
      <c r="N54" s="26">
        <f>(IR_DF("EURIBOR",L54,MktData,MktShift)/IR_DF("EURIBOR",EDATE(L54,3),MktData,MktShift)-1)/((EDATE(L54,3)-L54)/360)</f>
        <v>0.0309745264411115</v>
      </c>
    </row>
    <row r="55" spans="11:14">
      <c r="K55" s="24">
        <f>51/4</f>
        <v>12.75</v>
      </c>
      <c r="L55" s="23">
        <f>EDATE(ValDate,3*51)</f>
        <v>50972</v>
      </c>
      <c r="M55" s="26">
        <f>-LN(IR_DF("ESTR",L55,MktData,MktShift))/((L55-ValDate)/365)</f>
        <v>0.0262469133306957</v>
      </c>
      <c r="N55" s="26">
        <f>(IR_DF("EURIBOR",L55,MktData,MktShift)/IR_DF("EURIBOR",EDATE(L55,3),MktData,MktShift)-1)/((EDATE(L55,3)-L55)/360)</f>
        <v>0.0309758555444692</v>
      </c>
    </row>
    <row r="56" spans="11:14">
      <c r="K56" s="24">
        <f>52/4</f>
        <v>13</v>
      </c>
      <c r="L56" s="23">
        <f>EDATE(ValDate,3*52)</f>
        <v>51064</v>
      </c>
      <c r="M56" s="26">
        <f>-LN(IR_DF("ESTR",L56,MktData,MktShift))/((L56-ValDate)/365)</f>
        <v>0.0263264305968975</v>
      </c>
      <c r="N56" s="26">
        <f>(IR_DF("EURIBOR",L56,MktData,MktShift)/IR_DF("EURIBOR",EDATE(L56,3),MktData,MktShift)-1)/((EDATE(L56,3)-L56)/360)</f>
        <v>0.0309758555444684</v>
      </c>
    </row>
    <row r="57" spans="11:14">
      <c r="K57" s="24">
        <f>53/4</f>
        <v>13.25</v>
      </c>
      <c r="L57" s="23">
        <f>EDATE(ValDate,3*53)</f>
        <v>51156</v>
      </c>
      <c r="M57" s="26">
        <f>-LN(IR_DF("ESTR",L57,MktData,MktShift))/((L57-ValDate)/365)</f>
        <v>0.0264029248926486</v>
      </c>
      <c r="N57" s="26">
        <f>(IR_DF("EURIBOR",L57,MktData,MktShift)/IR_DF("EURIBOR",EDATE(L57,3),MktData,MktShift)-1)/((EDATE(L57,3)-L57)/360)</f>
        <v>0.0309745264411115</v>
      </c>
    </row>
    <row r="58" spans="11:14">
      <c r="K58" s="24">
        <f>54/4</f>
        <v>13.5</v>
      </c>
      <c r="L58" s="23">
        <f>EDATE(ValDate,3*54)</f>
        <v>51247</v>
      </c>
      <c r="M58" s="26">
        <f>-LN(IR_DF("ESTR",L58,MktData,MktShift))/((L58-ValDate)/365)</f>
        <v>0.0264757797183225</v>
      </c>
      <c r="N58" s="26">
        <f>(IR_DF("EURIBOR",L58,MktData,MktShift)/IR_DF("EURIBOR",EDATE(L58,3),MktData,MktShift)-1)/((EDATE(L58,3)-L58)/360)</f>
        <v>0.0309745264411115</v>
      </c>
    </row>
    <row r="59" spans="11:14">
      <c r="K59" s="24">
        <f>55/4</f>
        <v>13.75</v>
      </c>
      <c r="L59" s="23">
        <f>EDATE(ValDate,3*55)</f>
        <v>51338</v>
      </c>
      <c r="M59" s="26">
        <f>-LN(IR_DF("ESTR",L59,MktData,MktShift))/((L59-ValDate)/365)</f>
        <v>0.0265459942456546</v>
      </c>
      <c r="N59" s="26">
        <f>(IR_DF("EURIBOR",L59,MktData,MktShift)/IR_DF("EURIBOR",EDATE(L59,3),MktData,MktShift)-1)/((EDATE(L59,3)-L59)/360)</f>
        <v>0.0309758555444684</v>
      </c>
    </row>
    <row r="60" spans="11:14">
      <c r="K60" s="24">
        <f>56/4</f>
        <v>14</v>
      </c>
      <c r="L60" s="23">
        <f>EDATE(ValDate,3*56)</f>
        <v>51430</v>
      </c>
      <c r="M60" s="26">
        <f>-LN(IR_DF("ESTR",L60,MktData,MktShift))/((L60-ValDate)/365)</f>
        <v>0.0266144401853789</v>
      </c>
      <c r="N60" s="26">
        <f>(IR_DF("EURIBOR",L60,MktData,MktShift)/IR_DF("EURIBOR",EDATE(L60,3),MktData,MktShift)-1)/((EDATE(L60,3)-L60)/360)</f>
        <v>0.0309758555444684</v>
      </c>
    </row>
    <row r="61" spans="11:14">
      <c r="K61" s="24">
        <f>57/4</f>
        <v>14.25</v>
      </c>
      <c r="L61" s="23">
        <f>EDATE(ValDate,3*57)</f>
        <v>51522</v>
      </c>
      <c r="M61" s="26">
        <f>-LN(IR_DF("ESTR",L61,MktData,MktShift))/((L61-ValDate)/365)</f>
        <v>0.026680466983169</v>
      </c>
      <c r="N61" s="26">
        <f>(IR_DF("EURIBOR",L61,MktData,MktShift)/IR_DF("EURIBOR",EDATE(L61,3),MktData,MktShift)-1)/((EDATE(L61,3)-L61)/360)</f>
        <v>0.0309731974137435</v>
      </c>
    </row>
    <row r="62" spans="11:14">
      <c r="K62" s="24">
        <f>58/4</f>
        <v>14.5</v>
      </c>
      <c r="L62" s="23">
        <f>EDATE(ValDate,3*58)</f>
        <v>51612</v>
      </c>
      <c r="M62" s="26">
        <f>-LN(IR_DF("ESTR",L62,MktData,MktShift))/((L62-ValDate)/365)</f>
        <v>0.0267428386951068</v>
      </c>
      <c r="N62" s="26">
        <f>(IR_DF("EURIBOR",L62,MktData,MktShift)/IR_DF("EURIBOR",EDATE(L62,3),MktData,MktShift)-1)/((EDATE(L62,3)-L62)/360)</f>
        <v>0.0309745264411115</v>
      </c>
    </row>
    <row r="63" spans="11:14">
      <c r="K63" s="24">
        <f>59/4</f>
        <v>14.75</v>
      </c>
      <c r="L63" s="23">
        <f>EDATE(ValDate,3*59)</f>
        <v>51703</v>
      </c>
      <c r="M63" s="26">
        <f>-LN(IR_DF("ESTR",L63,MktData,MktShift))/((L63-ValDate)/365)</f>
        <v>0.0268037844885678</v>
      </c>
      <c r="N63" s="26">
        <f>(IR_DF("EURIBOR",L63,MktData,MktShift)/IR_DF("EURIBOR",EDATE(L63,3),MktData,MktShift)-1)/((EDATE(L63,3)-L63)/360)</f>
        <v>0.0309758555444684</v>
      </c>
    </row>
    <row r="64" spans="11:14">
      <c r="K64" s="24">
        <f>60/4</f>
        <v>15</v>
      </c>
      <c r="L64" s="23">
        <f>EDATE(ValDate,3*60)</f>
        <v>51795</v>
      </c>
      <c r="M64" s="26">
        <f>-LN(IR_DF("ESTR",L64,MktData,MktShift))/((L64-ValDate)/365)</f>
        <v>0.0268633420416617</v>
      </c>
      <c r="N64" s="26">
        <f>(IR_DF("EURIBOR",L64,MktData,MktShift)/IR_DF("EURIBOR",EDATE(L64,3),MktData,MktShift)-1)/((EDATE(L64,3)-L64)/360)</f>
        <v>0.0285868456353508</v>
      </c>
    </row>
    <row r="65" spans="11:14">
      <c r="K65" s="24">
        <f>61/4</f>
        <v>15.25</v>
      </c>
      <c r="L65" s="23">
        <f>EDATE(ValDate,3*61)</f>
        <v>51887</v>
      </c>
      <c r="M65" s="26">
        <f>-LN(IR_DF("ESTR",L65,MktData,MktShift))/((L65-ValDate)/365)</f>
        <v>0.0268887451760962</v>
      </c>
      <c r="N65" s="26">
        <f>(IR_DF("EURIBOR",L65,MktData,MktShift)/IR_DF("EURIBOR",EDATE(L65,3),MktData,MktShift)-1)/((EDATE(L65,3)-L65)/360)</f>
        <v>0.0285845812411507</v>
      </c>
    </row>
    <row r="66" spans="11:14">
      <c r="K66" s="24">
        <f>62/4</f>
        <v>15.5</v>
      </c>
      <c r="L66" s="23">
        <f>EDATE(ValDate,3*62)</f>
        <v>51977</v>
      </c>
      <c r="M66" s="26">
        <f>-LN(IR_DF("ESTR",L66,MktData,MktShift))/((L66-ValDate)/365)</f>
        <v>0.026912797117336</v>
      </c>
      <c r="N66" s="26">
        <f>(IR_DF("EURIBOR",L66,MktData,MktShift)/IR_DF("EURIBOR",EDATE(L66,3),MktData,MktShift)-1)/((EDATE(L66,3)-L66)/360)</f>
        <v>0.0285857134083727</v>
      </c>
    </row>
    <row r="67" spans="11:14">
      <c r="K67" s="24">
        <f>63/4</f>
        <v>15.75</v>
      </c>
      <c r="L67" s="23">
        <f>EDATE(ValDate,3*63)</f>
        <v>52068</v>
      </c>
      <c r="M67" s="26">
        <f>-LN(IR_DF("ESTR",L67,MktData,MktShift))/((L67-ValDate)/365)</f>
        <v>0.026936351042894</v>
      </c>
      <c r="N67" s="26">
        <f>(IR_DF("EURIBOR",L67,MktData,MktShift)/IR_DF("EURIBOR",EDATE(L67,3),MktData,MktShift)-1)/((EDATE(L67,3)-L67)/360)</f>
        <v>0.0285868456353508</v>
      </c>
    </row>
    <row r="68" spans="11:14">
      <c r="K68" s="24">
        <f>64/4</f>
        <v>16</v>
      </c>
      <c r="L68" s="23">
        <f>EDATE(ValDate,3*64)</f>
        <v>52160</v>
      </c>
      <c r="M68" s="26">
        <f>-LN(IR_DF("ESTR",L68,MktData,MktShift))/((L68-ValDate)/365)</f>
        <v>0.0269594181260256</v>
      </c>
      <c r="N68" s="26">
        <f>(IR_DF("EURIBOR",L68,MktData,MktShift)/IR_DF("EURIBOR",EDATE(L68,3),MktData,MktShift)-1)/((EDATE(L68,3)-L68)/360)</f>
        <v>0.02858684563535</v>
      </c>
    </row>
    <row r="69" spans="11:14">
      <c r="K69" s="24">
        <f>65/4</f>
        <v>16.25</v>
      </c>
      <c r="L69" s="23">
        <f>EDATE(ValDate,3*65)</f>
        <v>52252</v>
      </c>
      <c r="M69" s="26">
        <f>-LN(IR_DF("ESTR",L69,MktData,MktShift))/((L69-ValDate)/365)</f>
        <v>0.0269817701917556</v>
      </c>
      <c r="N69" s="26">
        <f>(IR_DF("EURIBOR",L69,MktData,MktShift)/IR_DF("EURIBOR",EDATE(L69,3),MktData,MktShift)-1)/((EDATE(L69,3)-L69)/360)</f>
        <v>0.0285845812411507</v>
      </c>
    </row>
    <row r="70" spans="11:14">
      <c r="K70" s="24">
        <f>66/4</f>
        <v>16.5</v>
      </c>
      <c r="L70" s="23">
        <f>EDATE(ValDate,3*66)</f>
        <v>52342</v>
      </c>
      <c r="M70" s="26">
        <f>-LN(IR_DF("ESTR",L70,MktData,MktShift))/((L70-ValDate)/365)</f>
        <v>0.0270029759315413</v>
      </c>
      <c r="N70" s="26">
        <f>(IR_DF("EURIBOR",L70,MktData,MktShift)/IR_DF("EURIBOR",EDATE(L70,3),MktData,MktShift)-1)/((EDATE(L70,3)-L70)/360)</f>
        <v>0.0285857134083727</v>
      </c>
    </row>
    <row r="71" spans="11:14">
      <c r="K71" s="24">
        <f>67/4</f>
        <v>16.75</v>
      </c>
      <c r="L71" s="23">
        <f>EDATE(ValDate,3*67)</f>
        <v>52433</v>
      </c>
      <c r="M71" s="26">
        <f>-LN(IR_DF("ESTR",L71,MktData,MktShift))/((L71-ValDate)/365)</f>
        <v>0.0270237828479574</v>
      </c>
      <c r="N71" s="26">
        <f>(IR_DF("EURIBOR",L71,MktData,MktShift)/IR_DF("EURIBOR",EDATE(L71,3),MktData,MktShift)-1)/((EDATE(L71,3)-L71)/360)</f>
        <v>0.0285868456353508</v>
      </c>
    </row>
    <row r="72" spans="11:14">
      <c r="K72" s="24">
        <f>68/4</f>
        <v>17</v>
      </c>
      <c r="L72" s="23">
        <f>EDATE(ValDate,3*68)</f>
        <v>52525</v>
      </c>
      <c r="M72" s="26">
        <f>-LN(IR_DF("ESTR",L72,MktData,MktShift))/((L72-ValDate)/365)</f>
        <v>0.027044198423373</v>
      </c>
      <c r="N72" s="26">
        <f>(IR_DF("EURIBOR",L72,MktData,MktShift)/IR_DF("EURIBOR",EDATE(L72,3),MktData,MktShift)-1)/((EDATE(L72,3)-L72)/360)</f>
        <v>0.02858684563535</v>
      </c>
    </row>
    <row r="73" spans="11:14">
      <c r="K73" s="24">
        <f>69/4</f>
        <v>17.25</v>
      </c>
      <c r="L73" s="23">
        <f>EDATE(ValDate,3*69)</f>
        <v>52617</v>
      </c>
      <c r="M73" s="26">
        <f>-LN(IR_DF("ESTR",L73,MktData,MktShift))/((L73-ValDate)/365)</f>
        <v>0.0270640178289938</v>
      </c>
      <c r="N73" s="26">
        <f>(IR_DF("EURIBOR",L73,MktData,MktShift)/IR_DF("EURIBOR",EDATE(L73,3),MktData,MktShift)-1)/((EDATE(L73,3)-L73)/360)</f>
        <v>0.0285857134083736</v>
      </c>
    </row>
    <row r="74" spans="11:14">
      <c r="K74" s="24">
        <f>70/4</f>
        <v>17.5</v>
      </c>
      <c r="L74" s="23">
        <f>EDATE(ValDate,3*70)</f>
        <v>52708</v>
      </c>
      <c r="M74" s="26">
        <f>-LN(IR_DF("ESTR",L74,MktData,MktShift))/((L74-ValDate)/365)</f>
        <v>0.0270830605535008</v>
      </c>
      <c r="N74" s="26">
        <f>(IR_DF("EURIBOR",L74,MktData,MktShift)/IR_DF("EURIBOR",EDATE(L74,3),MktData,MktShift)-1)/((EDATE(L74,3)-L74)/360)</f>
        <v>0.0285857134083727</v>
      </c>
    </row>
    <row r="75" spans="11:14">
      <c r="K75" s="24">
        <f>71/4</f>
        <v>17.75</v>
      </c>
      <c r="L75" s="23">
        <f>EDATE(ValDate,3*71)</f>
        <v>52799</v>
      </c>
      <c r="M75" s="26">
        <f>-LN(IR_DF("ESTR",L75,MktData,MktShift))/((L75-ValDate)/365)</f>
        <v>0.0271015686835515</v>
      </c>
      <c r="N75" s="26">
        <f>(IR_DF("EURIBOR",L75,MktData,MktShift)/IR_DF("EURIBOR",EDATE(L75,3),MktData,MktShift)-1)/((EDATE(L75,3)-L75)/360)</f>
        <v>0.0285868456353508</v>
      </c>
    </row>
    <row r="76" spans="11:14">
      <c r="K76" s="24">
        <f>72/4</f>
        <v>18</v>
      </c>
      <c r="L76" s="23">
        <f>EDATE(ValDate,3*72)</f>
        <v>52891</v>
      </c>
      <c r="M76" s="26">
        <f>-LN(IR_DF("ESTR",L76,MktData,MktShift))/((L76-ValDate)/365)</f>
        <v>0.0271197594076398</v>
      </c>
      <c r="N76" s="26">
        <f>(IR_DF("EURIBOR",L76,MktData,MktShift)/IR_DF("EURIBOR",EDATE(L76,3),MktData,MktShift)-1)/((EDATE(L76,3)-L76)/360)</f>
        <v>0.0285868456353508</v>
      </c>
    </row>
    <row r="77" spans="11:14">
      <c r="K77" s="24">
        <f>73/4</f>
        <v>18.25</v>
      </c>
      <c r="L77" s="23">
        <f>EDATE(ValDate,3*73)</f>
        <v>52983</v>
      </c>
      <c r="M77" s="26">
        <f>-LN(IR_DF("ESTR",L77,MktData,MktShift))/((L77-ValDate)/365)</f>
        <v>0.0271374480928452</v>
      </c>
      <c r="N77" s="26">
        <f>(IR_DF("EURIBOR",L77,MktData,MktShift)/IR_DF("EURIBOR",EDATE(L77,3),MktData,MktShift)-1)/((EDATE(L77,3)-L77)/360)</f>
        <v>0.0285845812411498</v>
      </c>
    </row>
    <row r="78" spans="11:14">
      <c r="K78" s="24">
        <f>74/4</f>
        <v>18.5</v>
      </c>
      <c r="L78" s="23">
        <f>EDATE(ValDate,3*74)</f>
        <v>53073</v>
      </c>
      <c r="M78" s="26">
        <f>-LN(IR_DF("ESTR",L78,MktData,MktShift))/((L78-ValDate)/365)</f>
        <v>0.027154286153649</v>
      </c>
      <c r="N78" s="26">
        <f>(IR_DF("EURIBOR",L78,MktData,MktShift)/IR_DF("EURIBOR",EDATE(L78,3),MktData,MktShift)-1)/((EDATE(L78,3)-L78)/360)</f>
        <v>0.0285857134083736</v>
      </c>
    </row>
    <row r="79" spans="11:14">
      <c r="K79" s="24">
        <f>75/4</f>
        <v>18.75</v>
      </c>
      <c r="L79" s="23">
        <f>EDATE(ValDate,3*75)</f>
        <v>53164</v>
      </c>
      <c r="M79" s="26">
        <f>-LN(IR_DF("ESTR",L79,MktData,MktShift))/((L79-ValDate)/365)</f>
        <v>0.027170861310995</v>
      </c>
      <c r="N79" s="26">
        <f>(IR_DF("EURIBOR",L79,MktData,MktShift)/IR_DF("EURIBOR",EDATE(L79,3),MktData,MktShift)-1)/((EDATE(L79,3)-L79)/360)</f>
        <v>0.02858684563535</v>
      </c>
    </row>
    <row r="80" spans="11:14">
      <c r="K80" s="24">
        <f>76/4</f>
        <v>19</v>
      </c>
      <c r="L80" s="23">
        <f>EDATE(ValDate,3*76)</f>
        <v>53256</v>
      </c>
      <c r="M80" s="26">
        <f>-LN(IR_DF("ESTR",L80,MktData,MktShift))/((L80-ValDate)/365)</f>
        <v>0.027187176741709</v>
      </c>
      <c r="N80" s="26">
        <f>(IR_DF("EURIBOR",L80,MktData,MktShift)/IR_DF("EURIBOR",EDATE(L80,3),MktData,MktShift)-1)/((EDATE(L80,3)-L80)/360)</f>
        <v>0.0285868456353508</v>
      </c>
    </row>
    <row r="81" spans="11:14">
      <c r="K81" s="24">
        <f>77/4</f>
        <v>19.25</v>
      </c>
      <c r="L81" s="23">
        <f>EDATE(ValDate,3*77)</f>
        <v>53348</v>
      </c>
      <c r="M81" s="26">
        <f>-LN(IR_DF("ESTR",L81,MktData,MktShift))/((L81-ValDate)/365)</f>
        <v>0.0272030652612668</v>
      </c>
      <c r="N81" s="26">
        <f>(IR_DF("EURIBOR",L81,MktData,MktShift)/IR_DF("EURIBOR",EDATE(L81,3),MktData,MktShift)-1)/((EDATE(L81,3)-L81)/360)</f>
        <v>0.0285845812411507</v>
      </c>
    </row>
    <row r="82" spans="11:14">
      <c r="K82" s="24">
        <f>78/4</f>
        <v>19.5</v>
      </c>
      <c r="L82" s="23">
        <f>EDATE(ValDate,3*78)</f>
        <v>53438</v>
      </c>
      <c r="M82" s="26">
        <f>-LN(IR_DF("ESTR",L82,MktData,MktShift))/((L82-ValDate)/365)</f>
        <v>0.0272182111797859</v>
      </c>
      <c r="N82" s="26">
        <f>(IR_DF("EURIBOR",L82,MktData,MktShift)/IR_DF("EURIBOR",EDATE(L82,3),MktData,MktShift)-1)/((EDATE(L82,3)-L82)/360)</f>
        <v>0.0285857134083736</v>
      </c>
    </row>
    <row r="83" spans="11:14">
      <c r="K83" s="24">
        <f>79/4</f>
        <v>19.75</v>
      </c>
      <c r="L83" s="23">
        <f>EDATE(ValDate,3*79)</f>
        <v>53529</v>
      </c>
      <c r="M83" s="26">
        <f>-LN(IR_DF("ESTR",L83,MktData,MktShift))/((L83-ValDate)/365)</f>
        <v>0.0272331410980067</v>
      </c>
      <c r="N83" s="26">
        <f>(IR_DF("EURIBOR",L83,MktData,MktShift)/IR_DF("EURIBOR",EDATE(L83,3),MktData,MktShift)-1)/((EDATE(L83,3)-L83)/360)</f>
        <v>0.0285868456353508</v>
      </c>
    </row>
    <row r="84" spans="11:14">
      <c r="K84" s="24">
        <f>80/4</f>
        <v>20</v>
      </c>
      <c r="L84" s="23">
        <f>EDATE(ValDate,3*80)</f>
        <v>53621</v>
      </c>
      <c r="M84" s="26">
        <f>-LN(IR_DF("ESTR",L84,MktData,MktShift))/((L84-ValDate)/365)</f>
        <v>0.0272478569568364</v>
      </c>
      <c r="N84" s="26">
        <f>(IR_DF("EURIBOR",L84,MktData,MktShift)/IR_DF("EURIBOR",EDATE(L84,3),MktData,MktShift)-1)/((EDATE(L84,3)-L84)/360)</f>
        <v>0.0285868456353508</v>
      </c>
    </row>
  </sheetData>
  <pageMargins left="0.4" right="0.4" top="0.5" bottom="0.5" header="0.3" footer="0.3"/>
  <pageSetup paperSize="9" fitToHeight="0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pageSetUpPr fitToPage="1"/>
  </sheetPr>
  <dimension ref="A1:O101"/>
  <sheetViews>
    <sheetView showGridLines="0" workbookViewId="0"/>
  </sheetViews>
  <sheetFormatPr defaultRowHeight="15"/>
  <cols>
    <col min="1" max="1" width="12.7109375" customWidth="1"/>
    <col min="2" max="6" width="15.7109375" customWidth="1"/>
    <col min="7" max="7" width="3.7109375" customWidth="1"/>
    <col min="8" max="15" width="12.7109375" customWidth="1"/>
  </cols>
  <sheetData>
    <row r="1" spans="1:15">
      <c r="A1" s="19" t="s">
        <v>143</v>
      </c>
    </row>
    <row r="2" spans="1:15" ht="32" customHeight="1">
      <c r="A2" s="10" t="s">
        <v>144</v>
      </c>
      <c r="B2" s="10" t="s">
        <v>72</v>
      </c>
      <c r="C2" s="10" t="s">
        <v>73</v>
      </c>
      <c r="D2" s="10" t="s">
        <v>74</v>
      </c>
      <c r="E2" s="10" t="s">
        <v>75</v>
      </c>
      <c r="F2" s="10" t="s">
        <v>76</v>
      </c>
      <c r="H2" s="9" t="s">
        <v>86</v>
      </c>
      <c r="I2" s="9" t="s">
        <v>91</v>
      </c>
      <c r="J2" s="9" t="s">
        <v>145</v>
      </c>
      <c r="K2" s="10" t="s">
        <v>146</v>
      </c>
      <c r="L2" s="10" t="s">
        <v>147</v>
      </c>
      <c r="M2" s="10" t="s">
        <v>148</v>
      </c>
      <c r="N2" s="10" t="s">
        <v>149</v>
      </c>
      <c r="O2" s="10" t="s">
        <v>150</v>
      </c>
    </row>
    <row r="3" spans="1:15">
      <c r="A3" s="30">
        <v>0.01</v>
      </c>
      <c r="B3" s="29">
        <v>0.0192404748899609</v>
      </c>
      <c r="C3" s="29">
        <v>0.0375872038239138</v>
      </c>
      <c r="D3" s="29">
        <v>0.0377663930523971</v>
      </c>
      <c r="E3" s="29">
        <v>0.0213659933793444</v>
      </c>
      <c r="F3" s="29">
        <v>0.0317615445692991</v>
      </c>
      <c r="H3" s="22">
        <f>Schedule!A3</f>
        <v>1</v>
      </c>
      <c r="I3" s="24">
        <f>IF(Schedule!B3=1,Schedule!F3,NA())</f>
        <v>0</v>
      </c>
      <c r="J3" s="29">
        <f>IF(Schedule!B3=1,Schedule!I3,NA())</f>
        <v>0.0203000000000001</v>
      </c>
      <c r="K3" s="29">
        <v>0.0203000000000001</v>
      </c>
      <c r="L3" s="29">
        <v>0.0203000000000001</v>
      </c>
      <c r="M3" s="29">
        <v>0.0203000000000001</v>
      </c>
      <c r="N3" s="29">
        <v>0.0203000000000001</v>
      </c>
      <c r="O3" s="29">
        <v>0.0203000000000001</v>
      </c>
    </row>
    <row r="4" spans="1:15">
      <c r="A4" s="30">
        <v>0.02</v>
      </c>
      <c r="B4" s="29">
        <v>0.0203936430005652</v>
      </c>
      <c r="C4" s="29">
        <v>0.0375872038239138</v>
      </c>
      <c r="D4" s="29">
        <v>0.0377663930523971</v>
      </c>
      <c r="E4" s="29">
        <v>0.0225191614899487</v>
      </c>
      <c r="F4" s="29">
        <v>0.0318535787012978</v>
      </c>
      <c r="H4" s="22">
        <f>Schedule!A4</f>
        <v>2</v>
      </c>
      <c r="I4" s="24">
        <f>IF(Schedule!B4=1,Schedule!F4,NA())</f>
        <v>0.252054794520548</v>
      </c>
      <c r="J4" s="29">
        <f>IF(Schedule!B4=1,Schedule!I4,NA())</f>
        <v>0.0197397760415852</v>
      </c>
      <c r="K4" s="29">
        <v>0.0131931298516957</v>
      </c>
      <c r="L4" s="29">
        <v>0.0170865371510684</v>
      </c>
      <c r="M4" s="29">
        <v>0.0197397760415852</v>
      </c>
      <c r="N4" s="29">
        <v>0.022393014932102</v>
      </c>
      <c r="O4" s="29">
        <v>0.0262864222314746</v>
      </c>
    </row>
    <row r="5" spans="1:15">
      <c r="A5" s="30">
        <v>0.03</v>
      </c>
      <c r="B5" s="29">
        <v>0.0212361275605819</v>
      </c>
      <c r="C5" s="29">
        <v>0.0375872038239138</v>
      </c>
      <c r="D5" s="29">
        <v>0.0377663930523971</v>
      </c>
      <c r="E5" s="29">
        <v>0.0233616460499654</v>
      </c>
      <c r="F5" s="29">
        <v>0.0319282463461681</v>
      </c>
      <c r="H5" s="22">
        <f>Schedule!A5</f>
        <v>3</v>
      </c>
      <c r="I5" s="24">
        <f>IF(Schedule!B5=1,Schedule!F5,NA())</f>
        <v>0.498630136986301</v>
      </c>
      <c r="J5" s="29">
        <f>IF(Schedule!B5=1,Schedule!I5,NA())</f>
        <v>0.0197403163560983</v>
      </c>
      <c r="K5" s="29">
        <v>0.0106807696674949</v>
      </c>
      <c r="L5" s="29">
        <v>0.0159153379970748</v>
      </c>
      <c r="M5" s="29">
        <v>0.0197403163560983</v>
      </c>
      <c r="N5" s="29">
        <v>0.0235652947151219</v>
      </c>
      <c r="O5" s="29">
        <v>0.0287998630447018</v>
      </c>
    </row>
    <row r="6" spans="1:15">
      <c r="A6" s="30">
        <v>0.04</v>
      </c>
      <c r="B6" s="29">
        <v>0.0219450527247793</v>
      </c>
      <c r="C6" s="29">
        <v>0.0375872038239138</v>
      </c>
      <c r="D6" s="29">
        <v>0.0377663930523971</v>
      </c>
      <c r="E6" s="29">
        <v>0.0240705712141628</v>
      </c>
      <c r="F6" s="29">
        <v>0.0320095567821664</v>
      </c>
      <c r="H6" s="22">
        <f>Schedule!A6</f>
        <v>4</v>
      </c>
      <c r="I6" s="24">
        <f>IF(Schedule!B6=1,Schedule!F6,NA())</f>
        <v>0.747945205479452</v>
      </c>
      <c r="J6" s="29">
        <f>IF(Schedule!B6=1,Schedule!I6,NA())</f>
        <v>0.0197408566903227</v>
      </c>
      <c r="K6" s="29">
        <v>0.008577927143209201</v>
      </c>
      <c r="L6" s="29">
        <v>0.0151201112426055</v>
      </c>
      <c r="M6" s="29">
        <v>0.0197408566903227</v>
      </c>
      <c r="N6" s="29">
        <v>0.0243616021380399</v>
      </c>
      <c r="O6" s="29">
        <v>0.0309037862374362</v>
      </c>
    </row>
    <row r="7" spans="1:15">
      <c r="A7" s="30">
        <v>0.05</v>
      </c>
      <c r="B7" s="29">
        <v>0.0226307472418826</v>
      </c>
      <c r="C7" s="29">
        <v>0.0375872038239138</v>
      </c>
      <c r="D7" s="29">
        <v>0.0377663930523971</v>
      </c>
      <c r="E7" s="29">
        <v>0.0247562657312661</v>
      </c>
      <c r="F7" s="29">
        <v>0.0320898512244243</v>
      </c>
      <c r="H7" s="22">
        <f>Schedule!A7</f>
        <v>5</v>
      </c>
      <c r="I7" s="24">
        <f>IF(Schedule!B7=1,Schedule!F7,NA())</f>
        <v>1</v>
      </c>
      <c r="J7" s="29">
        <f>IF(Schedule!B7=1,Schedule!I7,NA())</f>
        <v>0.0208052931488843</v>
      </c>
      <c r="K7" s="29">
        <v>0.00779951709205478</v>
      </c>
      <c r="L7" s="29">
        <v>0.0155000721500128</v>
      </c>
      <c r="M7" s="29">
        <v>0.0208052931488843</v>
      </c>
      <c r="N7" s="29">
        <v>0.0261105141477558</v>
      </c>
      <c r="O7" s="29">
        <v>0.0338110692057138</v>
      </c>
    </row>
    <row r="8" spans="1:15">
      <c r="A8" s="30">
        <v>0.06</v>
      </c>
      <c r="B8" s="29">
        <v>0.023306316899372</v>
      </c>
      <c r="C8" s="29">
        <v>0.0375872038239138</v>
      </c>
      <c r="D8" s="29">
        <v>0.0377663930523971</v>
      </c>
      <c r="E8" s="29">
        <v>0.0254318353887555</v>
      </c>
      <c r="F8" s="29">
        <v>0.0321782853899077</v>
      </c>
      <c r="H8" s="22">
        <f>Schedule!A8</f>
        <v>6</v>
      </c>
      <c r="I8" s="24">
        <f>IF(Schedule!B8=1,Schedule!F8,NA())</f>
        <v>1.25205479452055</v>
      </c>
      <c r="J8" s="29">
        <f>IF(Schedule!B8=1,Schedule!I8,NA())</f>
        <v>0.0208046930283406</v>
      </c>
      <c r="K8" s="29">
        <v>0.00613478610643807</v>
      </c>
      <c r="L8" s="29">
        <v>0.0148425540438027</v>
      </c>
      <c r="M8" s="29">
        <v>0.0208046930283406</v>
      </c>
      <c r="N8" s="29">
        <v>0.0267668320128784</v>
      </c>
      <c r="O8" s="29">
        <v>0.035474599950243</v>
      </c>
    </row>
    <row r="9" spans="1:15">
      <c r="A9" s="30">
        <v>0.07000000000000001</v>
      </c>
      <c r="B9" s="29">
        <v>0.0239406930370874</v>
      </c>
      <c r="C9" s="29">
        <v>0.0375872038239138</v>
      </c>
      <c r="D9" s="29">
        <v>0.0377663930523971</v>
      </c>
      <c r="E9" s="29">
        <v>0.0260662115264709</v>
      </c>
      <c r="F9" s="29">
        <v>0.0322665341611324</v>
      </c>
      <c r="H9" s="22">
        <f>Schedule!A9</f>
        <v>7</v>
      </c>
      <c r="I9" s="24">
        <f>IF(Schedule!B9=1,Schedule!F9,NA())</f>
        <v>1.5013698630137</v>
      </c>
      <c r="J9" s="29">
        <f>IF(Schedule!B9=1,Schedule!I9,NA())</f>
        <v>0.0208046930283414</v>
      </c>
      <c r="K9" s="29">
        <v>0.0049199348861819</v>
      </c>
      <c r="L9" s="29">
        <v>0.0141332397563552</v>
      </c>
      <c r="M9" s="29">
        <v>0.0208046930283414</v>
      </c>
      <c r="N9" s="29">
        <v>0.0274761463003277</v>
      </c>
      <c r="O9" s="29">
        <v>0.036689451170501</v>
      </c>
    </row>
    <row r="10" spans="1:15">
      <c r="A10" s="30">
        <v>0.08</v>
      </c>
      <c r="B10" s="29">
        <v>0.0244652227762661</v>
      </c>
      <c r="C10" s="29">
        <v>0.0375872038239138</v>
      </c>
      <c r="D10" s="29">
        <v>0.0377663930523971</v>
      </c>
      <c r="E10" s="29">
        <v>0.0265907412656496</v>
      </c>
      <c r="F10" s="29">
        <v>0.0323422073276983</v>
      </c>
      <c r="H10" s="22">
        <f>Schedule!A10</f>
        <v>8</v>
      </c>
      <c r="I10" s="24">
        <f>IF(Schedule!B10=1,Schedule!F10,NA())</f>
        <v>1.75068493150685</v>
      </c>
      <c r="J10" s="29">
        <f>IF(Schedule!B10=1,Schedule!I10,NA())</f>
        <v>0.0208052931488843</v>
      </c>
      <c r="K10" s="29">
        <v>0.00357904944732372</v>
      </c>
      <c r="L10" s="29">
        <v>0.0137979002960015</v>
      </c>
      <c r="M10" s="29">
        <v>0.0208052931488843</v>
      </c>
      <c r="N10" s="29">
        <v>0.027812686001767</v>
      </c>
      <c r="O10" s="29">
        <v>0.0380315368504448</v>
      </c>
    </row>
    <row r="11" spans="1:15">
      <c r="A11" s="30">
        <v>0.09</v>
      </c>
      <c r="B11" s="29">
        <v>0.0249938035313701</v>
      </c>
      <c r="C11" s="29">
        <v>0.0375872038239138</v>
      </c>
      <c r="D11" s="29">
        <v>0.0377663930523971</v>
      </c>
      <c r="E11" s="29">
        <v>0.0271193220207536</v>
      </c>
      <c r="F11" s="29">
        <v>0.0324315751782466</v>
      </c>
      <c r="H11" s="22">
        <f>Schedule!A11</f>
        <v>9</v>
      </c>
      <c r="I11" s="24">
        <f>IF(Schedule!B11=1,Schedule!F11,NA())</f>
        <v>2.0027397260274</v>
      </c>
      <c r="J11" s="29">
        <f>IF(Schedule!B11=1,Schedule!I11,NA())</f>
        <v>0.0227471088621678</v>
      </c>
      <c r="K11" s="29">
        <v>0.00424321689372121</v>
      </c>
      <c r="L11" s="29">
        <v>0.0152121654627153</v>
      </c>
      <c r="M11" s="29">
        <v>0.0227471088621678</v>
      </c>
      <c r="N11" s="29">
        <v>0.0302820522616203</v>
      </c>
      <c r="O11" s="29">
        <v>0.0412510008306145</v>
      </c>
    </row>
    <row r="12" spans="1:15">
      <c r="A12" s="30">
        <v>0.1</v>
      </c>
      <c r="B12" s="29">
        <v>0.0255137438498336</v>
      </c>
      <c r="C12" s="29">
        <v>0.0375872038239138</v>
      </c>
      <c r="D12" s="29">
        <v>0.0377663930523971</v>
      </c>
      <c r="E12" s="29">
        <v>0.0276355120373307</v>
      </c>
      <c r="F12" s="29">
        <v>0.0325210384086562</v>
      </c>
      <c r="H12" s="22">
        <f>Schedule!A12</f>
        <v>10</v>
      </c>
      <c r="I12" s="24">
        <f>IF(Schedule!B12=1,Schedule!F12,NA())</f>
        <v>2.25479452054795</v>
      </c>
      <c r="J12" s="29">
        <f>IF(Schedule!B12=1,Schedule!I12,NA())</f>
        <v>0.0227456743912517</v>
      </c>
      <c r="K12" s="29">
        <v>0.00336274608184112</v>
      </c>
      <c r="L12" s="29">
        <v>0.0146687631471616</v>
      </c>
      <c r="M12" s="29">
        <v>0.0227456743912517</v>
      </c>
      <c r="N12" s="29">
        <v>0.0308225856353419</v>
      </c>
      <c r="O12" s="29">
        <v>0.0421286027006624</v>
      </c>
    </row>
    <row r="13" spans="1:15">
      <c r="A13" s="30">
        <v>0.11</v>
      </c>
      <c r="B13" s="29">
        <v>0.0259710336676671</v>
      </c>
      <c r="C13" s="29">
        <v>0.0375872038239138</v>
      </c>
      <c r="D13" s="29">
        <v>0.0377663930523971</v>
      </c>
      <c r="E13" s="29">
        <v>0.0280944065906805</v>
      </c>
      <c r="F13" s="29">
        <v>0.0326136984133227</v>
      </c>
      <c r="H13" s="22">
        <f>Schedule!A13</f>
        <v>11</v>
      </c>
      <c r="I13" s="24">
        <f>IF(Schedule!B13=1,Schedule!F13,NA())</f>
        <v>2.5013698630137</v>
      </c>
      <c r="J13" s="29">
        <f>IF(Schedule!B13=1,Schedule!I13,NA())</f>
        <v>0.0227463916116395</v>
      </c>
      <c r="K13" s="29">
        <v>0.00220120712965919</v>
      </c>
      <c r="L13" s="29">
        <v>0.0141794982990235</v>
      </c>
      <c r="M13" s="29">
        <v>0.0227463916116395</v>
      </c>
      <c r="N13" s="29">
        <v>0.0313132849242555</v>
      </c>
      <c r="O13" s="29">
        <v>0.0432915760936198</v>
      </c>
    </row>
    <row r="14" spans="1:15">
      <c r="A14" s="30">
        <v>0.12</v>
      </c>
      <c r="B14" s="29">
        <v>0.0264499781452511</v>
      </c>
      <c r="C14" s="29">
        <v>0.0375872038239138</v>
      </c>
      <c r="D14" s="29">
        <v>0.0377663930523971</v>
      </c>
      <c r="E14" s="29">
        <v>0.0285754966346346</v>
      </c>
      <c r="F14" s="29">
        <v>0.0327036186596146</v>
      </c>
      <c r="H14" s="22">
        <f>Schedule!A14</f>
        <v>12</v>
      </c>
      <c r="I14" s="24">
        <f>IF(Schedule!B14=1,Schedule!F14,NA())</f>
        <v>2.75068493150685</v>
      </c>
      <c r="J14" s="29">
        <f>IF(Schedule!B14=1,Schedule!I14,NA())</f>
        <v>0.0227471088621678</v>
      </c>
      <c r="K14" s="29">
        <v>0.00111532031535022</v>
      </c>
      <c r="L14" s="29">
        <v>0.0138332492998613</v>
      </c>
      <c r="M14" s="29">
        <v>0.0227471088621678</v>
      </c>
      <c r="N14" s="29">
        <v>0.0316609684244744</v>
      </c>
      <c r="O14" s="29">
        <v>0.0443788974089855</v>
      </c>
    </row>
    <row r="15" spans="1:15">
      <c r="A15" s="30">
        <v>0.13</v>
      </c>
      <c r="B15" s="29">
        <v>0.0268836526447895</v>
      </c>
      <c r="C15" s="29">
        <v>0.0375872038239138</v>
      </c>
      <c r="D15" s="29">
        <v>0.0377663930523971</v>
      </c>
      <c r="E15" s="29">
        <v>0.0290090913860746</v>
      </c>
      <c r="F15" s="29">
        <v>0.0327979659434402</v>
      </c>
      <c r="H15" s="22">
        <f>Schedule!A15</f>
        <v>13</v>
      </c>
      <c r="I15" s="24">
        <f>IF(Schedule!B15=1,Schedule!F15,NA())</f>
        <v>3.0027397260274</v>
      </c>
      <c r="J15" s="29">
        <f>IF(Schedule!B15=1,Schedule!I15,NA())</f>
        <v>0.0243540406875651</v>
      </c>
      <c r="K15" s="29">
        <v>0.00165685217304261</v>
      </c>
      <c r="L15" s="29">
        <v>0.0150307862303858</v>
      </c>
      <c r="M15" s="29">
        <v>0.0243540406875651</v>
      </c>
      <c r="N15" s="29">
        <v>0.0336772951447443</v>
      </c>
      <c r="O15" s="29">
        <v>0.0470512292020875</v>
      </c>
    </row>
    <row r="16" spans="1:15">
      <c r="A16" s="30">
        <v>0.14</v>
      </c>
      <c r="B16" s="29">
        <v>0.0272898180407648</v>
      </c>
      <c r="C16" s="29">
        <v>0.0375872038239138</v>
      </c>
      <c r="D16" s="29">
        <v>0.0377663930523971</v>
      </c>
      <c r="E16" s="29">
        <v>0.0294050355889657</v>
      </c>
      <c r="F16" s="29">
        <v>0.0328964328118954</v>
      </c>
      <c r="H16" s="22">
        <f>Schedule!A16</f>
        <v>14</v>
      </c>
      <c r="I16" s="24">
        <f>IF(Schedule!B16=1,Schedule!F16,NA())</f>
        <v>3.25479452054795</v>
      </c>
      <c r="J16" s="29">
        <f>IF(Schedule!B16=1,Schedule!I16,NA())</f>
        <v>0.0243523966153409</v>
      </c>
      <c r="K16" s="29">
        <v>0.0009024327963778681</v>
      </c>
      <c r="L16" s="29">
        <v>0.0147928391974548</v>
      </c>
      <c r="M16" s="29">
        <v>0.0243523966153409</v>
      </c>
      <c r="N16" s="29">
        <v>0.0339119540332271</v>
      </c>
      <c r="O16" s="29">
        <v>0.047802360434304</v>
      </c>
    </row>
    <row r="17" spans="1:15">
      <c r="A17" s="30">
        <v>0.15</v>
      </c>
      <c r="B17" s="29">
        <v>0.0277021064131577</v>
      </c>
      <c r="C17" s="29">
        <v>0.0375872038239138</v>
      </c>
      <c r="D17" s="29">
        <v>0.0377663930523971</v>
      </c>
      <c r="E17" s="29">
        <v>0.029824230197493</v>
      </c>
      <c r="F17" s="29">
        <v>0.032995640145128</v>
      </c>
      <c r="H17" s="22">
        <f>Schedule!A17</f>
        <v>15</v>
      </c>
      <c r="I17" s="24">
        <f>IF(Schedule!B17=1,Schedule!F17,NA())</f>
        <v>3.5013698630137</v>
      </c>
      <c r="J17" s="29">
        <f>IF(Schedule!B17=1,Schedule!I17,NA())</f>
        <v>0.024353218632964</v>
      </c>
      <c r="K17" s="29">
        <v>0.000340484129809151</v>
      </c>
      <c r="L17" s="29">
        <v>0.0143837463526601</v>
      </c>
      <c r="M17" s="29">
        <v>0.024353218632964</v>
      </c>
      <c r="N17" s="29">
        <v>0.0343226909132678</v>
      </c>
      <c r="O17" s="29">
        <v>0.0483659531361188</v>
      </c>
    </row>
    <row r="18" spans="1:15">
      <c r="A18" s="30">
        <v>0.16</v>
      </c>
      <c r="B18" s="29">
        <v>0.028095080585821</v>
      </c>
      <c r="C18" s="29">
        <v>0.0375872038239138</v>
      </c>
      <c r="D18" s="29">
        <v>0.0377663930523971</v>
      </c>
      <c r="E18" s="29">
        <v>0.0302126023919246</v>
      </c>
      <c r="F18" s="29">
        <v>0.0331028371873031</v>
      </c>
      <c r="H18" s="22">
        <f>Schedule!A18</f>
        <v>16</v>
      </c>
      <c r="I18" s="24">
        <f>IF(Schedule!B18=1,Schedule!F18,NA())</f>
        <v>3.75068493150685</v>
      </c>
      <c r="J18" s="29">
        <f>IF(Schedule!B18=1,Schedule!I18,NA())</f>
        <v>0.0243540406875651</v>
      </c>
      <c r="K18" s="29">
        <v>-0.000822283012723918</v>
      </c>
      <c r="L18" s="29">
        <v>0.0139632459485599</v>
      </c>
      <c r="M18" s="29">
        <v>0.0243540406875651</v>
      </c>
      <c r="N18" s="29">
        <v>0.0347448354265702</v>
      </c>
      <c r="O18" s="29">
        <v>0.0495303643878541</v>
      </c>
    </row>
    <row r="19" spans="1:15">
      <c r="A19" s="30">
        <v>0.17</v>
      </c>
      <c r="B19" s="29">
        <v>0.0284703640942416</v>
      </c>
      <c r="C19" s="29">
        <v>0.0375872038239138</v>
      </c>
      <c r="D19" s="29">
        <v>0.0377663930523971</v>
      </c>
      <c r="E19" s="29">
        <v>0.0305821398649558</v>
      </c>
      <c r="F19" s="29">
        <v>0.0332134227047745</v>
      </c>
      <c r="H19" s="22">
        <f>Schedule!A19</f>
        <v>17</v>
      </c>
      <c r="I19" s="24">
        <f>IF(Schedule!B19=1,Schedule!F19,NA())</f>
        <v>4.0027397260274</v>
      </c>
      <c r="J19" s="29">
        <f>IF(Schedule!B19=1,Schedule!I19,NA())</f>
        <v>0.0254754004979805</v>
      </c>
      <c r="K19" s="29">
        <v>-0.000208063008461663</v>
      </c>
      <c r="L19" s="29">
        <v>0.0147378265638983</v>
      </c>
      <c r="M19" s="29">
        <v>0.0254754004979805</v>
      </c>
      <c r="N19" s="29">
        <v>0.0362129744320627</v>
      </c>
      <c r="O19" s="29">
        <v>0.0511588640044227</v>
      </c>
    </row>
    <row r="20" spans="1:15">
      <c r="A20" s="30">
        <v>0.18</v>
      </c>
      <c r="B20" s="29">
        <v>0.0287985147491374</v>
      </c>
      <c r="C20" s="29">
        <v>0.0375872038239138</v>
      </c>
      <c r="D20" s="29">
        <v>0.0377663930523971</v>
      </c>
      <c r="E20" s="29">
        <v>0.0309207142227241</v>
      </c>
      <c r="F20" s="29">
        <v>0.0333174672913459</v>
      </c>
      <c r="H20" s="22">
        <f>Schedule!A20</f>
        <v>18</v>
      </c>
      <c r="I20" s="24">
        <f>IF(Schedule!B20=1,Schedule!F20,NA())</f>
        <v>4.25479452054795</v>
      </c>
      <c r="J20" s="29">
        <f>IF(Schedule!B20=1,Schedule!I20,NA())</f>
        <v>0.025473601715408</v>
      </c>
      <c r="K20" s="29">
        <v>-0.00122911530982654</v>
      </c>
      <c r="L20" s="29">
        <v>0.0144266046769809</v>
      </c>
      <c r="M20" s="29">
        <v>0.025473601715408</v>
      </c>
      <c r="N20" s="29">
        <v>0.0365205987538352</v>
      </c>
      <c r="O20" s="29">
        <v>0.0521763187406426</v>
      </c>
    </row>
    <row r="21" spans="1:15">
      <c r="A21" s="30">
        <v>0.19</v>
      </c>
      <c r="B21" s="29">
        <v>0.0291764374492967</v>
      </c>
      <c r="C21" s="29">
        <v>0.0375872038239138</v>
      </c>
      <c r="D21" s="29">
        <v>0.0377663930523971</v>
      </c>
      <c r="E21" s="29">
        <v>0.031291310736457</v>
      </c>
      <c r="F21" s="29">
        <v>0.0334315441153372</v>
      </c>
      <c r="H21" s="22">
        <f>Schedule!A21</f>
        <v>19</v>
      </c>
      <c r="I21" s="24">
        <f>IF(Schedule!B21=1,Schedule!F21,NA())</f>
        <v>4.5013698630137</v>
      </c>
      <c r="J21" s="29">
        <f>IF(Schedule!B21=1,Schedule!I21,NA())</f>
        <v>0.0254745010855359</v>
      </c>
      <c r="K21" s="29">
        <v>-0.00208300669595604</v>
      </c>
      <c r="L21" s="29">
        <v>0.014233957028066</v>
      </c>
      <c r="M21" s="29">
        <v>0.0254745010855359</v>
      </c>
      <c r="N21" s="29">
        <v>0.0367150451430058</v>
      </c>
      <c r="O21" s="29">
        <v>0.0530320088670278</v>
      </c>
    </row>
    <row r="22" spans="1:15">
      <c r="A22" s="30">
        <v>0.2</v>
      </c>
      <c r="B22" s="29">
        <v>0.0295557498633701</v>
      </c>
      <c r="C22" s="29">
        <v>0.0375872038239138</v>
      </c>
      <c r="D22" s="29">
        <v>0.0377663930523971</v>
      </c>
      <c r="E22" s="29">
        <v>0.0316647232247723</v>
      </c>
      <c r="F22" s="29">
        <v>0.0335585712546576</v>
      </c>
      <c r="H22" s="22">
        <f>Schedule!A22</f>
        <v>20</v>
      </c>
      <c r="I22" s="24">
        <f>IF(Schedule!B22=1,Schedule!F22,NA())</f>
        <v>4.75068493150685</v>
      </c>
      <c r="J22" s="29">
        <f>IF(Schedule!B22=1,Schedule!I22,NA())</f>
        <v>0.0254754004979805</v>
      </c>
      <c r="K22" s="29">
        <v>-0.00280267610457925</v>
      </c>
      <c r="L22" s="29">
        <v>0.0138790601116177</v>
      </c>
      <c r="M22" s="29">
        <v>0.0254754004979805</v>
      </c>
      <c r="N22" s="29">
        <v>0.0370717408843434</v>
      </c>
      <c r="O22" s="29">
        <v>0.0537534771005403</v>
      </c>
    </row>
    <row r="23" spans="1:15">
      <c r="A23" s="30">
        <v>0.21</v>
      </c>
      <c r="B23" s="29">
        <v>0.0298977987199758</v>
      </c>
      <c r="C23" s="29">
        <v>0.0375872038239138</v>
      </c>
      <c r="D23" s="29">
        <v>0.0377663930523971</v>
      </c>
      <c r="E23" s="29">
        <v>0.0320096641291115</v>
      </c>
      <c r="F23" s="29">
        <v>0.0336683175106674</v>
      </c>
      <c r="H23" s="22">
        <f>Schedule!A23</f>
        <v>21</v>
      </c>
      <c r="I23" s="24" t="e">
        <f>IF(Schedule!B23=1,Schedule!F23,NA())</f>
        <v>#N/A</v>
      </c>
      <c r="J23" s="29" t="e">
        <f>IF(Schedule!B23=1,Schedule!I23,NA())</f>
        <v>#N/A</v>
      </c>
      <c r="K23" s="29"/>
      <c r="L23" s="29"/>
      <c r="M23" s="29"/>
      <c r="N23" s="29"/>
      <c r="O23" s="29"/>
    </row>
    <row r="24" spans="1:15">
      <c r="A24" s="30">
        <v>0.22</v>
      </c>
      <c r="B24" s="29">
        <v>0.0302405453853915</v>
      </c>
      <c r="C24" s="29">
        <v>0.0375872038239138</v>
      </c>
      <c r="D24" s="29">
        <v>0.0377663930523971</v>
      </c>
      <c r="E24" s="29">
        <v>0.0323487655446144</v>
      </c>
      <c r="F24" s="29">
        <v>0.0337751632569098</v>
      </c>
      <c r="H24" s="22">
        <f>Schedule!A24</f>
        <v>22</v>
      </c>
      <c r="I24" s="24" t="e">
        <f>IF(Schedule!B24=1,Schedule!F24,NA())</f>
        <v>#N/A</v>
      </c>
      <c r="J24" s="29" t="e">
        <f>IF(Schedule!B24=1,Schedule!I24,NA())</f>
        <v>#N/A</v>
      </c>
      <c r="K24" s="29"/>
      <c r="L24" s="29"/>
      <c r="M24" s="29"/>
      <c r="N24" s="29"/>
      <c r="O24" s="29"/>
    </row>
    <row r="25" spans="1:15">
      <c r="A25" s="30">
        <v>0.23</v>
      </c>
      <c r="B25" s="29">
        <v>0.0305406918124801</v>
      </c>
      <c r="C25" s="29">
        <v>0.0375872038239138</v>
      </c>
      <c r="D25" s="29">
        <v>0.0377663930523971</v>
      </c>
      <c r="E25" s="29">
        <v>0.0326441660028656</v>
      </c>
      <c r="F25" s="29">
        <v>0.0338891814361479</v>
      </c>
      <c r="H25" s="22">
        <f>Schedule!A25</f>
        <v>23</v>
      </c>
      <c r="I25" s="24" t="e">
        <f>IF(Schedule!B25=1,Schedule!F25,NA())</f>
        <v>#N/A</v>
      </c>
      <c r="J25" s="29" t="e">
        <f>IF(Schedule!B25=1,Schedule!I25,NA())</f>
        <v>#N/A</v>
      </c>
      <c r="K25" s="29"/>
      <c r="L25" s="29"/>
      <c r="M25" s="29"/>
      <c r="N25" s="29"/>
      <c r="O25" s="29"/>
    </row>
    <row r="26" spans="1:15">
      <c r="A26" s="30">
        <v>0.24</v>
      </c>
      <c r="B26" s="29">
        <v>0.0308704333928395</v>
      </c>
      <c r="C26" s="29">
        <v>0.0375872038239138</v>
      </c>
      <c r="D26" s="29">
        <v>0.0377663930523971</v>
      </c>
      <c r="E26" s="29">
        <v>0.0329529734983252</v>
      </c>
      <c r="F26" s="29">
        <v>0.0340028753116344</v>
      </c>
      <c r="H26" s="22">
        <f>Schedule!A26</f>
        <v>24</v>
      </c>
      <c r="I26" s="24" t="e">
        <f>IF(Schedule!B26=1,Schedule!F26,NA())</f>
        <v>#N/A</v>
      </c>
      <c r="J26" s="29" t="e">
        <f>IF(Schedule!B26=1,Schedule!I26,NA())</f>
        <v>#N/A</v>
      </c>
      <c r="K26" s="29"/>
      <c r="L26" s="29"/>
      <c r="M26" s="29"/>
      <c r="N26" s="29"/>
      <c r="O26" s="29"/>
    </row>
    <row r="27" spans="1:15">
      <c r="A27" s="30">
        <v>0.25</v>
      </c>
      <c r="B27" s="29">
        <v>0.0311635085970337</v>
      </c>
      <c r="C27" s="29">
        <v>0.0375872038239138</v>
      </c>
      <c r="D27" s="29">
        <v>0.0377663930523971</v>
      </c>
      <c r="E27" s="29">
        <v>0.0332651881278757</v>
      </c>
      <c r="F27" s="29">
        <v>0.0341221024487358</v>
      </c>
      <c r="H27" s="22">
        <f>Schedule!A27</f>
        <v>25</v>
      </c>
      <c r="I27" s="24" t="e">
        <f>IF(Schedule!B27=1,Schedule!F27,NA())</f>
        <v>#N/A</v>
      </c>
      <c r="J27" s="29" t="e">
        <f>IF(Schedule!B27=1,Schedule!I27,NA())</f>
        <v>#N/A</v>
      </c>
      <c r="K27" s="29"/>
      <c r="L27" s="29"/>
      <c r="M27" s="29"/>
      <c r="N27" s="29"/>
      <c r="O27" s="29"/>
    </row>
    <row r="28" spans="1:15">
      <c r="A28" s="30">
        <v>0.26</v>
      </c>
      <c r="B28" s="29">
        <v>0.0314313101142523</v>
      </c>
      <c r="C28" s="29">
        <v>0.0375872038239138</v>
      </c>
      <c r="D28" s="29">
        <v>0.0377663930523971</v>
      </c>
      <c r="E28" s="29">
        <v>0.0335226480126122</v>
      </c>
      <c r="F28" s="29">
        <v>0.0342448188078105</v>
      </c>
      <c r="H28" s="22">
        <f>Schedule!A28</f>
        <v>26</v>
      </c>
      <c r="I28" s="24" t="e">
        <f>IF(Schedule!B28=1,Schedule!F28,NA())</f>
        <v>#N/A</v>
      </c>
      <c r="J28" s="29" t="e">
        <f>IF(Schedule!B28=1,Schedule!I28,NA())</f>
        <v>#N/A</v>
      </c>
      <c r="K28" s="29"/>
      <c r="L28" s="29"/>
      <c r="M28" s="29"/>
      <c r="N28" s="29"/>
      <c r="O28" s="29"/>
    </row>
    <row r="29" spans="1:15">
      <c r="A29" s="30">
        <v>0.27</v>
      </c>
      <c r="B29" s="29">
        <v>0.0317308398184026</v>
      </c>
      <c r="C29" s="29">
        <v>0.0375872038239138</v>
      </c>
      <c r="D29" s="29">
        <v>0.0377663930523971</v>
      </c>
      <c r="E29" s="29">
        <v>0.0338105435786146</v>
      </c>
      <c r="F29" s="29">
        <v>0.0343848756568434</v>
      </c>
      <c r="H29" s="22">
        <f>Schedule!A29</f>
        <v>27</v>
      </c>
      <c r="I29" s="24" t="e">
        <f>IF(Schedule!B29=1,Schedule!F29,NA())</f>
        <v>#N/A</v>
      </c>
      <c r="J29" s="29" t="e">
        <f>IF(Schedule!B29=1,Schedule!I29,NA())</f>
        <v>#N/A</v>
      </c>
      <c r="K29" s="29"/>
      <c r="L29" s="29"/>
      <c r="M29" s="29"/>
      <c r="N29" s="29"/>
      <c r="O29" s="29"/>
    </row>
    <row r="30" spans="1:15">
      <c r="A30" s="30">
        <v>0.28</v>
      </c>
      <c r="B30" s="29">
        <v>0.0320485788978048</v>
      </c>
      <c r="C30" s="29">
        <v>0.0375872038239138</v>
      </c>
      <c r="D30" s="29">
        <v>0.0377663930523971</v>
      </c>
      <c r="E30" s="29">
        <v>0.0341143017659909</v>
      </c>
      <c r="F30" s="29">
        <v>0.0345344262266873</v>
      </c>
      <c r="H30" s="22">
        <f>Schedule!A30</f>
        <v>28</v>
      </c>
      <c r="I30" s="24" t="e">
        <f>IF(Schedule!B30=1,Schedule!F30,NA())</f>
        <v>#N/A</v>
      </c>
      <c r="J30" s="29" t="e">
        <f>IF(Schedule!B30=1,Schedule!I30,NA())</f>
        <v>#N/A</v>
      </c>
      <c r="K30" s="29"/>
      <c r="L30" s="29"/>
      <c r="M30" s="29"/>
      <c r="N30" s="29"/>
      <c r="O30" s="29"/>
    </row>
    <row r="31" spans="1:15">
      <c r="A31" s="30">
        <v>0.29</v>
      </c>
      <c r="B31" s="29">
        <v>0.0323155286712725</v>
      </c>
      <c r="C31" s="29">
        <v>0.0375872038239138</v>
      </c>
      <c r="D31" s="29">
        <v>0.0377663930523971</v>
      </c>
      <c r="E31" s="29">
        <v>0.034384147599224</v>
      </c>
      <c r="F31" s="29">
        <v>0.0346527841272523</v>
      </c>
      <c r="H31" s="22">
        <f>Schedule!A31</f>
        <v>29</v>
      </c>
      <c r="I31" s="24" t="e">
        <f>IF(Schedule!B31=1,Schedule!F31,NA())</f>
        <v>#N/A</v>
      </c>
      <c r="J31" s="29" t="e">
        <f>IF(Schedule!B31=1,Schedule!I31,NA())</f>
        <v>#N/A</v>
      </c>
      <c r="K31" s="29"/>
      <c r="L31" s="29"/>
      <c r="M31" s="29"/>
      <c r="N31" s="29"/>
      <c r="O31" s="29"/>
    </row>
    <row r="32" spans="1:15">
      <c r="A32" s="30">
        <v>0.3</v>
      </c>
      <c r="B32" s="29">
        <v>0.0325807959667537</v>
      </c>
      <c r="C32" s="29">
        <v>0.0375872038239138</v>
      </c>
      <c r="D32" s="29">
        <v>0.0377663930523971</v>
      </c>
      <c r="E32" s="29">
        <v>0.0346460860292826</v>
      </c>
      <c r="F32" s="29">
        <v>0.0348007621337832</v>
      </c>
      <c r="H32" s="22">
        <f>Schedule!A32</f>
        <v>30</v>
      </c>
      <c r="I32" s="24" t="e">
        <f>IF(Schedule!B32=1,Schedule!F32,NA())</f>
        <v>#N/A</v>
      </c>
      <c r="J32" s="29" t="e">
        <f>IF(Schedule!B32=1,Schedule!I32,NA())</f>
        <v>#N/A</v>
      </c>
      <c r="K32" s="29"/>
      <c r="L32" s="29"/>
      <c r="M32" s="29"/>
      <c r="N32" s="29"/>
      <c r="O32" s="29"/>
    </row>
    <row r="33" spans="1:15">
      <c r="A33" s="30">
        <v>0.31</v>
      </c>
      <c r="B33" s="29">
        <v>0.0328296139250382</v>
      </c>
      <c r="C33" s="29">
        <v>0.0375872038239138</v>
      </c>
      <c r="D33" s="29">
        <v>0.0377663930523971</v>
      </c>
      <c r="E33" s="29">
        <v>0.0348718038396483</v>
      </c>
      <c r="F33" s="29">
        <v>0.0349180856105397</v>
      </c>
      <c r="H33" s="22">
        <f>Schedule!A33</f>
        <v>31</v>
      </c>
      <c r="I33" s="24" t="e">
        <f>IF(Schedule!B33=1,Schedule!F33,NA())</f>
        <v>#N/A</v>
      </c>
      <c r="J33" s="29" t="e">
        <f>IF(Schedule!B33=1,Schedule!I33,NA())</f>
        <v>#N/A</v>
      </c>
      <c r="K33" s="29"/>
      <c r="L33" s="29"/>
      <c r="M33" s="29"/>
      <c r="N33" s="29"/>
      <c r="O33" s="29"/>
    </row>
    <row r="34" spans="1:15">
      <c r="A34" s="30">
        <v>0.32</v>
      </c>
      <c r="B34" s="29">
        <v>0.0330794758762442</v>
      </c>
      <c r="C34" s="29">
        <v>0.0375872038239138</v>
      </c>
      <c r="D34" s="29">
        <v>0.0377663930523971</v>
      </c>
      <c r="E34" s="29">
        <v>0.0351239996662739</v>
      </c>
      <c r="F34" s="29">
        <v>0.0350474594768686</v>
      </c>
      <c r="H34" s="22">
        <f>Schedule!A34</f>
        <v>32</v>
      </c>
      <c r="I34" s="24" t="e">
        <f>IF(Schedule!B34=1,Schedule!F34,NA())</f>
        <v>#N/A</v>
      </c>
      <c r="J34" s="29" t="e">
        <f>IF(Schedule!B34=1,Schedule!I34,NA())</f>
        <v>#N/A</v>
      </c>
      <c r="K34" s="29"/>
      <c r="L34" s="29"/>
      <c r="M34" s="29"/>
      <c r="N34" s="29"/>
      <c r="O34" s="29"/>
    </row>
    <row r="35" spans="1:15">
      <c r="A35" s="30">
        <v>0.33</v>
      </c>
      <c r="B35" s="29">
        <v>0.0333769478099011</v>
      </c>
      <c r="C35" s="29">
        <v>0.0375872038239138</v>
      </c>
      <c r="D35" s="29">
        <v>0.0377663930523971</v>
      </c>
      <c r="E35" s="29">
        <v>0.0353715482568152</v>
      </c>
      <c r="F35" s="29">
        <v>0.0351821888213297</v>
      </c>
      <c r="H35" s="22">
        <f>Schedule!A35</f>
        <v>33</v>
      </c>
      <c r="I35" s="24" t="e">
        <f>IF(Schedule!B35=1,Schedule!F35,NA())</f>
        <v>#N/A</v>
      </c>
      <c r="J35" s="29" t="e">
        <f>IF(Schedule!B35=1,Schedule!I35,NA())</f>
        <v>#N/A</v>
      </c>
      <c r="K35" s="29"/>
      <c r="L35" s="29"/>
      <c r="M35" s="29"/>
      <c r="N35" s="29"/>
      <c r="O35" s="29"/>
    </row>
    <row r="36" spans="1:15">
      <c r="A36" s="30">
        <v>0.34</v>
      </c>
      <c r="B36" s="29">
        <v>0.0336632612652502</v>
      </c>
      <c r="C36" s="29">
        <v>0.0375872038239138</v>
      </c>
      <c r="D36" s="29">
        <v>0.0377663930523971</v>
      </c>
      <c r="E36" s="29">
        <v>0.0356468194385896</v>
      </c>
      <c r="F36" s="29">
        <v>0.0353225730534829</v>
      </c>
      <c r="H36" s="22">
        <f>Schedule!A36</f>
        <v>34</v>
      </c>
      <c r="I36" s="24" t="e">
        <f>IF(Schedule!B36=1,Schedule!F36,NA())</f>
        <v>#N/A</v>
      </c>
      <c r="J36" s="29" t="e">
        <f>IF(Schedule!B36=1,Schedule!I36,NA())</f>
        <v>#N/A</v>
      </c>
      <c r="K36" s="29"/>
      <c r="L36" s="29"/>
      <c r="M36" s="29"/>
      <c r="N36" s="29"/>
      <c r="O36" s="29"/>
    </row>
    <row r="37" spans="1:15">
      <c r="A37" s="30">
        <v>0.35</v>
      </c>
      <c r="B37" s="29">
        <v>0.0338889420103865</v>
      </c>
      <c r="C37" s="29">
        <v>0.0375872038239138</v>
      </c>
      <c r="D37" s="29">
        <v>0.0377663930523971</v>
      </c>
      <c r="E37" s="29">
        <v>0.0359122146139774</v>
      </c>
      <c r="F37" s="29">
        <v>0.0354573359913572</v>
      </c>
      <c r="H37" s="22">
        <f>Schedule!A37</f>
        <v>35</v>
      </c>
      <c r="I37" s="24" t="e">
        <f>IF(Schedule!B37=1,Schedule!F37,NA())</f>
        <v>#N/A</v>
      </c>
      <c r="J37" s="29" t="e">
        <f>IF(Schedule!B37=1,Schedule!I37,NA())</f>
        <v>#N/A</v>
      </c>
      <c r="K37" s="29"/>
      <c r="L37" s="29"/>
      <c r="M37" s="29"/>
      <c r="N37" s="29"/>
      <c r="O37" s="29"/>
    </row>
    <row r="38" spans="1:15">
      <c r="A38" s="30">
        <v>0.36</v>
      </c>
      <c r="B38" s="29">
        <v>0.0341505392477384</v>
      </c>
      <c r="C38" s="29">
        <v>0.0375872038239138</v>
      </c>
      <c r="D38" s="29">
        <v>0.0377663930523971</v>
      </c>
      <c r="E38" s="29">
        <v>0.0361646694811185</v>
      </c>
      <c r="F38" s="29">
        <v>0.0356090715659692</v>
      </c>
      <c r="H38" s="22">
        <f>Schedule!A38</f>
        <v>36</v>
      </c>
      <c r="I38" s="24" t="e">
        <f>IF(Schedule!B38=1,Schedule!F38,NA())</f>
        <v>#N/A</v>
      </c>
      <c r="J38" s="29" t="e">
        <f>IF(Schedule!B38=1,Schedule!I38,NA())</f>
        <v>#N/A</v>
      </c>
      <c r="K38" s="29"/>
      <c r="L38" s="29"/>
      <c r="M38" s="29"/>
      <c r="N38" s="29"/>
      <c r="O38" s="29"/>
    </row>
    <row r="39" spans="1:15">
      <c r="A39" s="30">
        <v>0.37</v>
      </c>
      <c r="B39" s="29">
        <v>0.0344144008257767</v>
      </c>
      <c r="C39" s="29">
        <v>0.0375872038239138</v>
      </c>
      <c r="D39" s="29">
        <v>0.0377663930523971</v>
      </c>
      <c r="E39" s="29">
        <v>0.0363963805385142</v>
      </c>
      <c r="F39" s="29">
        <v>0.035755836757231</v>
      </c>
      <c r="H39" s="22">
        <f>Schedule!A39</f>
        <v>37</v>
      </c>
      <c r="I39" s="24" t="e">
        <f>IF(Schedule!B39=1,Schedule!F39,NA())</f>
        <v>#N/A</v>
      </c>
      <c r="J39" s="29" t="e">
        <f>IF(Schedule!B39=1,Schedule!I39,NA())</f>
        <v>#N/A</v>
      </c>
      <c r="K39" s="29"/>
      <c r="L39" s="29"/>
      <c r="M39" s="29"/>
      <c r="N39" s="29"/>
      <c r="O39" s="29"/>
    </row>
    <row r="40" spans="1:15">
      <c r="A40" s="30">
        <v>0.38</v>
      </c>
      <c r="B40" s="29">
        <v>0.0346704232746616</v>
      </c>
      <c r="C40" s="29">
        <v>0.0375872038239138</v>
      </c>
      <c r="D40" s="29">
        <v>0.0377663930523971</v>
      </c>
      <c r="E40" s="29">
        <v>0.0366373137530843</v>
      </c>
      <c r="F40" s="29">
        <v>0.0359302230010593</v>
      </c>
      <c r="H40" s="22">
        <f>Schedule!A40</f>
        <v>38</v>
      </c>
      <c r="I40" s="24" t="e">
        <f>IF(Schedule!B40=1,Schedule!F40,NA())</f>
        <v>#N/A</v>
      </c>
      <c r="J40" s="29" t="e">
        <f>IF(Schedule!B40=1,Schedule!I40,NA())</f>
        <v>#N/A</v>
      </c>
      <c r="K40" s="29"/>
      <c r="L40" s="29"/>
      <c r="M40" s="29"/>
      <c r="N40" s="29"/>
      <c r="O40" s="29"/>
    </row>
    <row r="41" spans="1:15">
      <c r="A41" s="30">
        <v>0.39</v>
      </c>
      <c r="B41" s="29">
        <v>0.0349386053695507</v>
      </c>
      <c r="C41" s="29">
        <v>0.0375872038239138</v>
      </c>
      <c r="D41" s="29">
        <v>0.0377663930523971</v>
      </c>
      <c r="E41" s="29">
        <v>0.0368818971946972</v>
      </c>
      <c r="F41" s="29">
        <v>0.0360923823587507</v>
      </c>
      <c r="H41" s="22">
        <f>Schedule!A41</f>
        <v>39</v>
      </c>
      <c r="I41" s="24" t="e">
        <f>IF(Schedule!B41=1,Schedule!F41,NA())</f>
        <v>#N/A</v>
      </c>
      <c r="J41" s="29" t="e">
        <f>IF(Schedule!B41=1,Schedule!I41,NA())</f>
        <v>#N/A</v>
      </c>
      <c r="K41" s="29"/>
      <c r="L41" s="29"/>
      <c r="M41" s="29"/>
      <c r="N41" s="29"/>
      <c r="O41" s="29"/>
    </row>
    <row r="42" spans="1:15">
      <c r="A42" s="30">
        <v>0.4</v>
      </c>
      <c r="B42" s="29">
        <v>0.0351864856058853</v>
      </c>
      <c r="C42" s="29">
        <v>0.0375872038239138</v>
      </c>
      <c r="D42" s="29">
        <v>0.0377663930523971</v>
      </c>
      <c r="E42" s="29">
        <v>0.0371331921149844</v>
      </c>
      <c r="F42" s="29">
        <v>0.03623530042991</v>
      </c>
      <c r="H42" s="22">
        <f>Schedule!A42</f>
        <v>40</v>
      </c>
      <c r="I42" s="24" t="e">
        <f>IF(Schedule!B42=1,Schedule!F42,NA())</f>
        <v>#N/A</v>
      </c>
      <c r="J42" s="29" t="e">
        <f>IF(Schedule!B42=1,Schedule!I42,NA())</f>
        <v>#N/A</v>
      </c>
      <c r="K42" s="29"/>
      <c r="L42" s="29"/>
      <c r="M42" s="29"/>
      <c r="N42" s="29"/>
      <c r="O42" s="29"/>
    </row>
    <row r="43" spans="1:15">
      <c r="A43" s="30">
        <v>0.41</v>
      </c>
      <c r="B43" s="29">
        <v>0.0354387806275954</v>
      </c>
      <c r="C43" s="29">
        <v>0.0375872038239138</v>
      </c>
      <c r="D43" s="29">
        <v>0.0377663930523971</v>
      </c>
      <c r="E43" s="29">
        <v>0.037362655959393</v>
      </c>
      <c r="F43" s="29">
        <v>0.0363885721953164</v>
      </c>
    </row>
    <row r="44" spans="1:15">
      <c r="A44" s="30">
        <v>0.42</v>
      </c>
      <c r="B44" s="29">
        <v>0.0357090691897083</v>
      </c>
      <c r="C44" s="29">
        <v>0.0375872038239138</v>
      </c>
      <c r="D44" s="29">
        <v>0.0377663930523971</v>
      </c>
      <c r="E44" s="29">
        <v>0.0375840745671875</v>
      </c>
      <c r="F44" s="29">
        <v>0.0365341856226355</v>
      </c>
    </row>
    <row r="45" spans="1:15">
      <c r="A45" s="30">
        <v>0.43</v>
      </c>
      <c r="B45" s="29">
        <v>0.0359445491209906</v>
      </c>
      <c r="C45" s="29">
        <v>0.0375872038239138</v>
      </c>
      <c r="D45" s="29">
        <v>0.0377663930523971</v>
      </c>
      <c r="E45" s="29">
        <v>0.0378116010002115</v>
      </c>
      <c r="F45" s="29">
        <v>0.0366990851705963</v>
      </c>
    </row>
    <row r="46" spans="1:15">
      <c r="A46" s="30">
        <v>0.44</v>
      </c>
      <c r="B46" s="29">
        <v>0.0361831096927549</v>
      </c>
      <c r="C46" s="29">
        <v>0.0375872038239138</v>
      </c>
      <c r="D46" s="29">
        <v>0.0377663930523971</v>
      </c>
      <c r="E46" s="29">
        <v>0.0380001145164969</v>
      </c>
      <c r="F46" s="29">
        <v>0.0368499821676292</v>
      </c>
    </row>
    <row r="47" spans="1:15">
      <c r="A47" s="30">
        <v>0.45</v>
      </c>
      <c r="B47" s="29">
        <v>0.0364417449580397</v>
      </c>
      <c r="C47" s="29">
        <v>0.0375872038239138</v>
      </c>
      <c r="D47" s="29">
        <v>0.0377663930523971</v>
      </c>
      <c r="E47" s="29">
        <v>0.0382301395225642</v>
      </c>
      <c r="F47" s="29">
        <v>0.0370194349682733</v>
      </c>
    </row>
    <row r="48" spans="1:15">
      <c r="A48" s="30">
        <v>0.46</v>
      </c>
      <c r="B48" s="29">
        <v>0.0366966460052717</v>
      </c>
      <c r="C48" s="29">
        <v>0.0375872038239138</v>
      </c>
      <c r="D48" s="29">
        <v>0.0377663930523971</v>
      </c>
      <c r="E48" s="29">
        <v>0.0384560082500115</v>
      </c>
      <c r="F48" s="29">
        <v>0.0371789460276883</v>
      </c>
    </row>
    <row r="49" spans="1:6">
      <c r="A49" s="30">
        <v>0.47</v>
      </c>
      <c r="B49" s="29">
        <v>0.0369267028570502</v>
      </c>
      <c r="C49" s="29">
        <v>0.0375872038239138</v>
      </c>
      <c r="D49" s="29">
        <v>0.0377663930523971</v>
      </c>
      <c r="E49" s="29">
        <v>0.0386789272228062</v>
      </c>
      <c r="F49" s="29">
        <v>0.0373350603053592</v>
      </c>
    </row>
    <row r="50" spans="1:6">
      <c r="A50" s="30">
        <v>0.48</v>
      </c>
      <c r="B50" s="29">
        <v>0.0371977501054154</v>
      </c>
      <c r="C50" s="29">
        <v>0.0375872038239138</v>
      </c>
      <c r="D50" s="29">
        <v>0.0377663930523971</v>
      </c>
      <c r="E50" s="29">
        <v>0.0388804906963495</v>
      </c>
      <c r="F50" s="29">
        <v>0.0374817907673401</v>
      </c>
    </row>
    <row r="51" spans="1:6">
      <c r="A51" s="30">
        <v>0.49</v>
      </c>
      <c r="B51" s="29">
        <v>0.0374082846822577</v>
      </c>
      <c r="C51" s="29">
        <v>0.0375872038239138</v>
      </c>
      <c r="D51" s="29">
        <v>0.0377663930523971</v>
      </c>
      <c r="E51" s="29">
        <v>0.0390951092954618</v>
      </c>
      <c r="F51" s="29">
        <v>0.0376197940743128</v>
      </c>
    </row>
    <row r="52" spans="1:6">
      <c r="A52" s="30">
        <v>0.5</v>
      </c>
      <c r="B52" s="29">
        <v>0.0376512132546616</v>
      </c>
      <c r="C52" s="29">
        <v>0.0375872038239138</v>
      </c>
      <c r="D52" s="29">
        <v>0.0377663930523971</v>
      </c>
      <c r="E52" s="29">
        <v>0.0393071359568935</v>
      </c>
      <c r="F52" s="29">
        <v>0.037777370655475</v>
      </c>
    </row>
    <row r="53" spans="1:6">
      <c r="A53" s="30">
        <v>0.51</v>
      </c>
      <c r="B53" s="29">
        <v>0.0378960098106244</v>
      </c>
      <c r="C53" s="29">
        <v>0.0375872038239138</v>
      </c>
      <c r="D53" s="29">
        <v>0.0377663930523971</v>
      </c>
      <c r="E53" s="29">
        <v>0.0394680922293185</v>
      </c>
      <c r="F53" s="29">
        <v>0.03792489498143</v>
      </c>
    </row>
    <row r="54" spans="1:6">
      <c r="A54" s="30">
        <v>0.52</v>
      </c>
      <c r="B54" s="29">
        <v>0.0381049223410183</v>
      </c>
      <c r="C54" s="29">
        <v>0.0375872038239138</v>
      </c>
      <c r="D54" s="29">
        <v>0.0377663930523971</v>
      </c>
      <c r="E54" s="29">
        <v>0.0396399097595248</v>
      </c>
      <c r="F54" s="29">
        <v>0.0380953641066732</v>
      </c>
    </row>
    <row r="55" spans="1:6">
      <c r="A55" s="30">
        <v>0.53</v>
      </c>
      <c r="B55" s="29">
        <v>0.0383760043348738</v>
      </c>
      <c r="C55" s="29">
        <v>0.0375872038239138</v>
      </c>
      <c r="D55" s="29">
        <v>0.0377663930523971</v>
      </c>
      <c r="E55" s="29">
        <v>0.039841770921882</v>
      </c>
      <c r="F55" s="29">
        <v>0.0382434332842003</v>
      </c>
    </row>
    <row r="56" spans="1:6">
      <c r="A56" s="30">
        <v>0.54</v>
      </c>
      <c r="B56" s="29">
        <v>0.0386063797783986</v>
      </c>
      <c r="C56" s="29">
        <v>0.0375872038239138</v>
      </c>
      <c r="D56" s="29">
        <v>0.0377663930523971</v>
      </c>
      <c r="E56" s="29">
        <v>0.0400292151376948</v>
      </c>
      <c r="F56" s="29">
        <v>0.0384034698557978</v>
      </c>
    </row>
    <row r="57" spans="1:6">
      <c r="A57" s="30">
        <v>0.55</v>
      </c>
      <c r="B57" s="29">
        <v>0.0388618032730562</v>
      </c>
      <c r="C57" s="29">
        <v>0.0375872038239138</v>
      </c>
      <c r="D57" s="29">
        <v>0.0377663930523971</v>
      </c>
      <c r="E57" s="29">
        <v>0.0402159528061169</v>
      </c>
      <c r="F57" s="29">
        <v>0.0385469356005275</v>
      </c>
    </row>
    <row r="58" spans="1:6">
      <c r="A58" s="30">
        <v>0.5600000000000001</v>
      </c>
      <c r="B58" s="29">
        <v>0.0391206719079793</v>
      </c>
      <c r="C58" s="29">
        <v>0.0375872038239138</v>
      </c>
      <c r="D58" s="29">
        <v>0.0377663930523971</v>
      </c>
      <c r="E58" s="29">
        <v>0.0404103413591655</v>
      </c>
      <c r="F58" s="29">
        <v>0.038696085789899</v>
      </c>
    </row>
    <row r="59" spans="1:6">
      <c r="A59" s="30">
        <v>0.57</v>
      </c>
      <c r="B59" s="29">
        <v>0.0393589849380336</v>
      </c>
      <c r="C59" s="29">
        <v>0.0375872038239138</v>
      </c>
      <c r="D59" s="29">
        <v>0.0377663930523971</v>
      </c>
      <c r="E59" s="29">
        <v>0.0405850525476815</v>
      </c>
      <c r="F59" s="29">
        <v>0.0388558321721976</v>
      </c>
    </row>
    <row r="60" spans="1:6">
      <c r="A60" s="30">
        <v>0.58</v>
      </c>
      <c r="B60" s="29">
        <v>0.0395975672634326</v>
      </c>
      <c r="C60" s="29">
        <v>0.0375872038239138</v>
      </c>
      <c r="D60" s="29">
        <v>0.0377663930523971</v>
      </c>
      <c r="E60" s="29">
        <v>0.0407732319389753</v>
      </c>
      <c r="F60" s="29">
        <v>0.0390014500131969</v>
      </c>
    </row>
    <row r="61" spans="1:6">
      <c r="A61" s="30">
        <v>0.59</v>
      </c>
      <c r="B61" s="29">
        <v>0.0398647663007188</v>
      </c>
      <c r="C61" s="29">
        <v>0.0375872038239138</v>
      </c>
      <c r="D61" s="29">
        <v>0.0377663930523971</v>
      </c>
      <c r="E61" s="29">
        <v>0.0409476852043673</v>
      </c>
      <c r="F61" s="29">
        <v>0.0391378294994653</v>
      </c>
    </row>
    <row r="62" spans="1:6">
      <c r="A62" s="30">
        <v>0.6</v>
      </c>
      <c r="B62" s="29">
        <v>0.040118726514584</v>
      </c>
      <c r="C62" s="29">
        <v>0.0375872038239138</v>
      </c>
      <c r="D62" s="29">
        <v>0.0377663930523971</v>
      </c>
      <c r="E62" s="29">
        <v>0.0411186205746345</v>
      </c>
      <c r="F62" s="29">
        <v>0.0392835286596178</v>
      </c>
    </row>
    <row r="63" spans="1:6">
      <c r="A63" s="30">
        <v>0.61</v>
      </c>
      <c r="B63" s="29">
        <v>0.040366007968404</v>
      </c>
      <c r="C63" s="29">
        <v>0.0375872038239138</v>
      </c>
      <c r="D63" s="29">
        <v>0.0377663930523971</v>
      </c>
      <c r="E63" s="29">
        <v>0.0412935775704</v>
      </c>
      <c r="F63" s="29">
        <v>0.0394281872678419</v>
      </c>
    </row>
    <row r="64" spans="1:6">
      <c r="A64" s="30">
        <v>0.62</v>
      </c>
      <c r="B64" s="29">
        <v>0.0406333703477165</v>
      </c>
      <c r="C64" s="29">
        <v>0.0375872038239138</v>
      </c>
      <c r="D64" s="29">
        <v>0.0377663930523971</v>
      </c>
      <c r="E64" s="29">
        <v>0.041454419753234</v>
      </c>
      <c r="F64" s="29">
        <v>0.0395625976188782</v>
      </c>
    </row>
    <row r="65" spans="1:6">
      <c r="A65" s="30">
        <v>0.63</v>
      </c>
      <c r="B65" s="29">
        <v>0.0408887694910214</v>
      </c>
      <c r="C65" s="29">
        <v>0.0375872038239138</v>
      </c>
      <c r="D65" s="29">
        <v>0.0377663930523971</v>
      </c>
      <c r="E65" s="29">
        <v>0.0415986502529296</v>
      </c>
      <c r="F65" s="29">
        <v>0.0397146639840184</v>
      </c>
    </row>
    <row r="66" spans="1:6">
      <c r="A66" s="30">
        <v>0.64</v>
      </c>
      <c r="B66" s="29">
        <v>0.0411582023784271</v>
      </c>
      <c r="C66" s="29">
        <v>0.0375872038239138</v>
      </c>
      <c r="D66" s="29">
        <v>0.0377663930523971</v>
      </c>
      <c r="E66" s="29">
        <v>0.0417588716478966</v>
      </c>
      <c r="F66" s="29">
        <v>0.0398584277706305</v>
      </c>
    </row>
    <row r="67" spans="1:6">
      <c r="A67" s="30">
        <v>0.65</v>
      </c>
      <c r="B67" s="29">
        <v>0.0414178406812496</v>
      </c>
      <c r="C67" s="29">
        <v>0.0375872038239138</v>
      </c>
      <c r="D67" s="29">
        <v>0.0377663930523971</v>
      </c>
      <c r="E67" s="29">
        <v>0.0419206000591675</v>
      </c>
      <c r="F67" s="29">
        <v>0.0400068824955027</v>
      </c>
    </row>
    <row r="68" spans="1:6">
      <c r="A68" s="30">
        <v>0.66</v>
      </c>
      <c r="B68" s="29">
        <v>0.0416477071305875</v>
      </c>
      <c r="C68" s="29">
        <v>0.0375872038239138</v>
      </c>
      <c r="D68" s="29">
        <v>0.0377663930523971</v>
      </c>
      <c r="E68" s="29">
        <v>0.0420852447458746</v>
      </c>
      <c r="F68" s="29">
        <v>0.0401544831482751</v>
      </c>
    </row>
    <row r="69" spans="1:6">
      <c r="A69" s="30">
        <v>0.67</v>
      </c>
      <c r="B69" s="29">
        <v>0.0419458308587476</v>
      </c>
      <c r="C69" s="29">
        <v>0.0375872038239138</v>
      </c>
      <c r="D69" s="29">
        <v>0.0377663930523971</v>
      </c>
      <c r="E69" s="29">
        <v>0.04224098213551</v>
      </c>
      <c r="F69" s="29">
        <v>0.0403133972118173</v>
      </c>
    </row>
    <row r="70" spans="1:6">
      <c r="A70" s="30">
        <v>0.68</v>
      </c>
      <c r="B70" s="29">
        <v>0.0422342757661644</v>
      </c>
      <c r="C70" s="29">
        <v>0.0375872038239138</v>
      </c>
      <c r="D70" s="29">
        <v>0.0377663930523971</v>
      </c>
      <c r="E70" s="29">
        <v>0.0424262946452104</v>
      </c>
      <c r="F70" s="29">
        <v>0.0404451288942451</v>
      </c>
    </row>
    <row r="71" spans="1:6">
      <c r="A71" s="30">
        <v>0.6899999999999999</v>
      </c>
      <c r="B71" s="29">
        <v>0.0424741748712066</v>
      </c>
      <c r="C71" s="29">
        <v>0.0375872038239138</v>
      </c>
      <c r="D71" s="29">
        <v>0.0377663930523971</v>
      </c>
      <c r="E71" s="29">
        <v>0.0425807144058178</v>
      </c>
      <c r="F71" s="29">
        <v>0.0405785832660712</v>
      </c>
    </row>
    <row r="72" spans="1:6">
      <c r="A72" s="30">
        <v>0.7</v>
      </c>
      <c r="B72" s="29">
        <v>0.0427375527288169</v>
      </c>
      <c r="C72" s="29">
        <v>0.0375872038239138</v>
      </c>
      <c r="D72" s="29">
        <v>0.0377663930523971</v>
      </c>
      <c r="E72" s="29">
        <v>0.0427212640693366</v>
      </c>
      <c r="F72" s="29">
        <v>0.0407057212034848</v>
      </c>
    </row>
    <row r="73" spans="1:6">
      <c r="A73" s="30">
        <v>0.71</v>
      </c>
      <c r="B73" s="29">
        <v>0.0429993292680846</v>
      </c>
      <c r="C73" s="29">
        <v>0.0375872038239138</v>
      </c>
      <c r="D73" s="29">
        <v>0.0377663930523971</v>
      </c>
      <c r="E73" s="29">
        <v>0.0428736298429291</v>
      </c>
      <c r="F73" s="29">
        <v>0.0408301171995238</v>
      </c>
    </row>
    <row r="74" spans="1:6">
      <c r="A74" s="30">
        <v>0.72</v>
      </c>
      <c r="B74" s="29">
        <v>0.0432677918015655</v>
      </c>
      <c r="C74" s="29">
        <v>0.0375872038239138</v>
      </c>
      <c r="D74" s="29">
        <v>0.0377663930523971</v>
      </c>
      <c r="E74" s="29">
        <v>0.0430021442016041</v>
      </c>
      <c r="F74" s="29">
        <v>0.0409703900830084</v>
      </c>
    </row>
    <row r="75" spans="1:6">
      <c r="A75" s="30">
        <v>0.73</v>
      </c>
      <c r="B75" s="29">
        <v>0.0435924736547667</v>
      </c>
      <c r="C75" s="29">
        <v>0.0375872038239138</v>
      </c>
      <c r="D75" s="29">
        <v>0.0377663930523971</v>
      </c>
      <c r="E75" s="29">
        <v>0.0431592807200002</v>
      </c>
      <c r="F75" s="29">
        <v>0.041100549669605</v>
      </c>
    </row>
    <row r="76" spans="1:6">
      <c r="A76" s="30">
        <v>0.74</v>
      </c>
      <c r="B76" s="29">
        <v>0.0438894047003665</v>
      </c>
      <c r="C76" s="29">
        <v>0.0375872038239138</v>
      </c>
      <c r="D76" s="29">
        <v>0.0377663930523971</v>
      </c>
      <c r="E76" s="29">
        <v>0.0433068751512423</v>
      </c>
      <c r="F76" s="29">
        <v>0.041243995702215</v>
      </c>
    </row>
    <row r="77" spans="1:6">
      <c r="A77" s="30">
        <v>0.75</v>
      </c>
      <c r="B77" s="29">
        <v>0.0441704844301011</v>
      </c>
      <c r="C77" s="29">
        <v>0.0375872038239138</v>
      </c>
      <c r="D77" s="29">
        <v>0.0377663930523971</v>
      </c>
      <c r="E77" s="29">
        <v>0.0434562935813674</v>
      </c>
      <c r="F77" s="29">
        <v>0.041382717023643</v>
      </c>
    </row>
    <row r="78" spans="1:6">
      <c r="A78" s="30">
        <v>0.76</v>
      </c>
      <c r="B78" s="29">
        <v>0.0444754420743447</v>
      </c>
      <c r="C78" s="29">
        <v>0.0375872038239138</v>
      </c>
      <c r="D78" s="29">
        <v>0.0377663930523971</v>
      </c>
      <c r="E78" s="29">
        <v>0.0435848357093111</v>
      </c>
      <c r="F78" s="29">
        <v>0.0415138879258986</v>
      </c>
    </row>
    <row r="79" spans="1:6">
      <c r="A79" s="30">
        <v>0.77</v>
      </c>
      <c r="B79" s="29">
        <v>0.0448036581730413</v>
      </c>
      <c r="C79" s="29">
        <v>0.0375872038239138</v>
      </c>
      <c r="D79" s="29">
        <v>0.0377663930523971</v>
      </c>
      <c r="E79" s="29">
        <v>0.0437172642714047</v>
      </c>
      <c r="F79" s="29">
        <v>0.04164548609899</v>
      </c>
    </row>
    <row r="80" spans="1:6">
      <c r="A80" s="30">
        <v>0.78</v>
      </c>
      <c r="B80" s="29">
        <v>0.0451251028698394</v>
      </c>
      <c r="C80" s="29">
        <v>0.0375872038239138</v>
      </c>
      <c r="D80" s="29">
        <v>0.0377663930523971</v>
      </c>
      <c r="E80" s="29">
        <v>0.0438485752122216</v>
      </c>
      <c r="F80" s="29">
        <v>0.0417707114934061</v>
      </c>
    </row>
    <row r="81" spans="1:6">
      <c r="A81" s="30">
        <v>0.79</v>
      </c>
      <c r="B81" s="29">
        <v>0.045453492934359</v>
      </c>
      <c r="C81" s="29">
        <v>0.0375872038239138</v>
      </c>
      <c r="D81" s="29">
        <v>0.0377663930523971</v>
      </c>
      <c r="E81" s="29">
        <v>0.0439877627375532</v>
      </c>
      <c r="F81" s="29">
        <v>0.0419083404509813</v>
      </c>
    </row>
    <row r="82" spans="1:6">
      <c r="A82" s="30">
        <v>0.8</v>
      </c>
      <c r="B82" s="29">
        <v>0.0457917788386754</v>
      </c>
      <c r="C82" s="29">
        <v>0.0375872038239138</v>
      </c>
      <c r="D82" s="29">
        <v>0.0377663930523971</v>
      </c>
      <c r="E82" s="29">
        <v>0.044118968881714</v>
      </c>
      <c r="F82" s="29">
        <v>0.0420215994537406</v>
      </c>
    </row>
    <row r="83" spans="1:6">
      <c r="A83" s="30">
        <v>0.8100000000000001</v>
      </c>
      <c r="B83" s="29">
        <v>0.0461803301159307</v>
      </c>
      <c r="C83" s="29">
        <v>0.0375872038239138</v>
      </c>
      <c r="D83" s="29">
        <v>0.0377663930523971</v>
      </c>
      <c r="E83" s="29">
        <v>0.044245971076873</v>
      </c>
      <c r="F83" s="29">
        <v>0.042150405171213</v>
      </c>
    </row>
    <row r="84" spans="1:6">
      <c r="A84" s="30">
        <v>0.82</v>
      </c>
      <c r="B84" s="29">
        <v>0.0465577051374085</v>
      </c>
      <c r="C84" s="29">
        <v>0.0375872038239138</v>
      </c>
      <c r="D84" s="29">
        <v>0.0377663930523971</v>
      </c>
      <c r="E84" s="29">
        <v>0.0443496410287646</v>
      </c>
      <c r="F84" s="29">
        <v>0.0422567387178708</v>
      </c>
    </row>
    <row r="85" spans="1:6">
      <c r="A85" s="30">
        <v>0.83</v>
      </c>
      <c r="B85" s="29">
        <v>0.0469012826941873</v>
      </c>
      <c r="C85" s="29">
        <v>0.0375872038239138</v>
      </c>
      <c r="D85" s="29">
        <v>0.0377663930523971</v>
      </c>
      <c r="E85" s="29">
        <v>0.044468320567414</v>
      </c>
      <c r="F85" s="29">
        <v>0.042369789717236</v>
      </c>
    </row>
    <row r="86" spans="1:6">
      <c r="A86" s="30">
        <v>0.84</v>
      </c>
      <c r="B86" s="29">
        <v>0.0473001401904798</v>
      </c>
      <c r="C86" s="29">
        <v>0.0375872038239138</v>
      </c>
      <c r="D86" s="29">
        <v>0.0377663930523971</v>
      </c>
      <c r="E86" s="29">
        <v>0.0445825532759698</v>
      </c>
      <c r="F86" s="29">
        <v>0.0424711145348351</v>
      </c>
    </row>
    <row r="87" spans="1:6">
      <c r="A87" s="30">
        <v>0.85</v>
      </c>
      <c r="B87" s="29">
        <v>0.0477255746176612</v>
      </c>
      <c r="C87" s="29">
        <v>0.0375872038239138</v>
      </c>
      <c r="D87" s="29">
        <v>0.0377663930523971</v>
      </c>
      <c r="E87" s="29">
        <v>0.0447032535749497</v>
      </c>
      <c r="F87" s="29">
        <v>0.0425951382192616</v>
      </c>
    </row>
    <row r="88" spans="1:6">
      <c r="A88" s="30">
        <v>0.86</v>
      </c>
      <c r="B88" s="29">
        <v>0.0481267835851894</v>
      </c>
      <c r="C88" s="29">
        <v>0.0375872038239138</v>
      </c>
      <c r="D88" s="29">
        <v>0.0377663930523971</v>
      </c>
      <c r="E88" s="29">
        <v>0.0448328040806814</v>
      </c>
      <c r="F88" s="29">
        <v>0.0427215909119388</v>
      </c>
    </row>
    <row r="89" spans="1:6">
      <c r="A89" s="30">
        <v>0.87</v>
      </c>
      <c r="B89" s="29">
        <v>0.0485321309487593</v>
      </c>
      <c r="C89" s="29">
        <v>0.0376002144288369</v>
      </c>
      <c r="D89" s="29">
        <v>0.0377663930523971</v>
      </c>
      <c r="E89" s="29">
        <v>0.0449558164443454</v>
      </c>
      <c r="F89" s="29">
        <v>0.0428374321513579</v>
      </c>
    </row>
    <row r="90" spans="1:6">
      <c r="A90" s="30">
        <v>0.88</v>
      </c>
      <c r="B90" s="29">
        <v>0.0490234794476642</v>
      </c>
      <c r="C90" s="29">
        <v>0.0376385729008502</v>
      </c>
      <c r="D90" s="29">
        <v>0.0377663930523971</v>
      </c>
      <c r="E90" s="29">
        <v>0.0450712382960224</v>
      </c>
      <c r="F90" s="29">
        <v>0.0429598707110442</v>
      </c>
    </row>
    <row r="91" spans="1:6">
      <c r="A91" s="30">
        <v>0.89</v>
      </c>
      <c r="B91" s="29">
        <v>0.0495461809687833</v>
      </c>
      <c r="C91" s="29">
        <v>0.0376849579291616</v>
      </c>
      <c r="D91" s="29">
        <v>0.0377663930523971</v>
      </c>
      <c r="E91" s="29">
        <v>0.0451922643333546</v>
      </c>
      <c r="F91" s="29">
        <v>0.0430773678590212</v>
      </c>
    </row>
    <row r="92" spans="1:6">
      <c r="A92" s="30">
        <v>0.9</v>
      </c>
      <c r="B92" s="29">
        <v>0.0500402545488649</v>
      </c>
      <c r="C92" s="29">
        <v>0.0377429499195028</v>
      </c>
      <c r="D92" s="29">
        <v>0.0377663930523971</v>
      </c>
      <c r="E92" s="29">
        <v>0.0453128665913485</v>
      </c>
      <c r="F92" s="29">
        <v>0.0431941377105451</v>
      </c>
    </row>
    <row r="93" spans="1:6">
      <c r="A93" s="30">
        <v>0.91</v>
      </c>
      <c r="B93" s="29">
        <v>0.0506292209043243</v>
      </c>
      <c r="C93" s="29">
        <v>0.0378192940519616</v>
      </c>
      <c r="D93" s="29">
        <v>0.0377663930523971</v>
      </c>
      <c r="E93" s="29">
        <v>0.0454258499141514</v>
      </c>
      <c r="F93" s="29">
        <v>0.0433078491170067</v>
      </c>
    </row>
    <row r="94" spans="1:6">
      <c r="A94" s="30">
        <v>0.92</v>
      </c>
      <c r="B94" s="29">
        <v>0.0512345411113157</v>
      </c>
      <c r="C94" s="29">
        <v>0.037922556246742</v>
      </c>
      <c r="D94" s="29">
        <v>0.0377663930523971</v>
      </c>
      <c r="E94" s="29">
        <v>0.0455353683861375</v>
      </c>
      <c r="F94" s="29">
        <v>0.0434167629426139</v>
      </c>
    </row>
    <row r="95" spans="1:6">
      <c r="A95" s="30">
        <v>0.93</v>
      </c>
      <c r="B95" s="29">
        <v>0.0519912871881514</v>
      </c>
      <c r="C95" s="29">
        <v>0.0380617790507564</v>
      </c>
      <c r="D95" s="29">
        <v>0.0377663930523971</v>
      </c>
      <c r="E95" s="29">
        <v>0.0456418544988521</v>
      </c>
      <c r="F95" s="29">
        <v>0.0435230894535415</v>
      </c>
    </row>
    <row r="96" spans="1:6">
      <c r="A96" s="30">
        <v>0.9399999999999999</v>
      </c>
      <c r="B96" s="29">
        <v>0.0527342022627341</v>
      </c>
      <c r="C96" s="29">
        <v>0.0382275695575362</v>
      </c>
      <c r="D96" s="29">
        <v>0.0377663930523971</v>
      </c>
      <c r="E96" s="29">
        <v>0.0457578166528876</v>
      </c>
      <c r="F96" s="29">
        <v>0.043638042393341</v>
      </c>
    </row>
    <row r="97" spans="1:6">
      <c r="A97" s="30">
        <v>0.95</v>
      </c>
      <c r="B97" s="29">
        <v>0.053616700940244</v>
      </c>
      <c r="C97" s="29">
        <v>0.0384806064168281</v>
      </c>
      <c r="D97" s="29">
        <v>0.0377663930523971</v>
      </c>
      <c r="E97" s="29">
        <v>0.0458611527753937</v>
      </c>
      <c r="F97" s="29">
        <v>0.0437419240577667</v>
      </c>
    </row>
    <row r="98" spans="1:6">
      <c r="A98" s="30">
        <v>0.96</v>
      </c>
      <c r="B98" s="29">
        <v>0.0545597623571731</v>
      </c>
      <c r="C98" s="29">
        <v>0.0388743630167129</v>
      </c>
      <c r="D98" s="29">
        <v>0.0377663930523971</v>
      </c>
      <c r="E98" s="29">
        <v>0.045974815757508</v>
      </c>
      <c r="F98" s="29">
        <v>0.0438539825318582</v>
      </c>
    </row>
    <row r="99" spans="1:6">
      <c r="A99" s="30">
        <v>0.97</v>
      </c>
      <c r="B99" s="29">
        <v>0.0557650656724839</v>
      </c>
      <c r="C99" s="29">
        <v>0.039491751906361</v>
      </c>
      <c r="D99" s="29">
        <v>0.0377663930523971</v>
      </c>
      <c r="E99" s="29">
        <v>0.0461038721401759</v>
      </c>
      <c r="F99" s="29">
        <v>0.0439813963256345</v>
      </c>
    </row>
    <row r="100" spans="1:6">
      <c r="A100" s="30">
        <v>0.98</v>
      </c>
      <c r="B100" s="29">
        <v>0.0573204326918985</v>
      </c>
      <c r="C100" s="29">
        <v>0.0404196355542282</v>
      </c>
      <c r="D100" s="29">
        <v>0.0377663930523971</v>
      </c>
      <c r="E100" s="29">
        <v>0.0462414095527563</v>
      </c>
      <c r="F100" s="29">
        <v>0.0441226869256252</v>
      </c>
    </row>
    <row r="101" spans="1:6">
      <c r="A101" s="30">
        <v>0.99</v>
      </c>
      <c r="B101" s="29">
        <v>0.0599229699514371</v>
      </c>
      <c r="C101" s="29">
        <v>0.0421914891066023</v>
      </c>
      <c r="D101" s="29">
        <v>0.0377663930523971</v>
      </c>
      <c r="E101" s="29">
        <v>0.0463840417504863</v>
      </c>
      <c r="F101" s="29">
        <v>0.0442655265324431</v>
      </c>
    </row>
  </sheetData>
  <conditionalFormatting sqref="H3:O42">
    <cfRule type="expression" dxfId="0" priority="1">
      <formula>ISNA($I3)</formula>
    </cfRule>
  </conditionalFormatting>
  <pageMargins left="0.4" right="0.4" top="0.5" bottom="0.5" header="0.3" footer="0.3"/>
  <pageSetup paperSize="9" fitToHeight="0"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>
    <pageSetUpPr fitToPage="1"/>
  </sheetPr>
  <dimension ref="A1:F45"/>
  <sheetViews>
    <sheetView showGridLines="0" workbookViewId="0"/>
  </sheetViews>
  <sheetFormatPr defaultRowHeight="15"/>
  <cols>
    <col min="1" max="1" width="22.7109375" customWidth="1"/>
    <col min="2" max="3" width="9.7109375" customWidth="1"/>
    <col min="4" max="4" width="12.7109375" customWidth="1"/>
    <col min="5" max="5" width="3.7109375" customWidth="1"/>
    <col min="6" max="6" width="90.7109375" customWidth="1"/>
  </cols>
  <sheetData>
    <row r="1" spans="1:6">
      <c r="A1" s="19" t="s">
        <v>0</v>
      </c>
    </row>
    <row r="2" spans="1:6">
      <c r="A2" s="2" t="s">
        <v>1</v>
      </c>
    </row>
    <row r="5" spans="1:6">
      <c r="A5" s="9" t="s">
        <v>2</v>
      </c>
      <c r="B5" s="9" t="s">
        <v>3</v>
      </c>
      <c r="C5" s="9" t="s">
        <v>4</v>
      </c>
      <c r="D5" s="9" t="s">
        <v>5</v>
      </c>
    </row>
    <row r="6" spans="1:6">
      <c r="A6" s="8" t="s">
        <v>6</v>
      </c>
      <c r="B6" s="8"/>
      <c r="C6" s="12"/>
      <c r="D6" s="32">
        <v>46316</v>
      </c>
    </row>
    <row r="7" spans="1:6">
      <c r="A7" s="8" t="s">
        <v>7</v>
      </c>
      <c r="B7" s="8" t="s">
        <v>8</v>
      </c>
      <c r="C7" s="22">
        <f>IF(B7="","",VALUE(LEFT(B7,LEN(B7)-1))*IF(UPPER(RIGHT(B7,1))="Y",12,1))</f>
        <v>1</v>
      </c>
      <c r="D7" s="33">
        <v>0.019</v>
      </c>
      <c r="F7" s="2" t="s">
        <v>26</v>
      </c>
    </row>
    <row r="8" spans="1:6">
      <c r="A8" s="8" t="s">
        <v>7</v>
      </c>
      <c r="B8" s="8" t="s">
        <v>9</v>
      </c>
      <c r="C8" s="22">
        <f>IF(B8="","",VALUE(LEFT(B8,LEN(B8)-1))*IF(UPPER(RIGHT(B8,1))="Y",12,1))</f>
        <v>3</v>
      </c>
      <c r="D8" s="33">
        <v>0.019</v>
      </c>
    </row>
    <row r="9" spans="1:6">
      <c r="A9" s="8" t="s">
        <v>7</v>
      </c>
      <c r="B9" s="8" t="s">
        <v>10</v>
      </c>
      <c r="C9" s="22">
        <f>IF(B9="","",VALUE(LEFT(B9,LEN(B9)-1))*IF(UPPER(RIGHT(B9,1))="Y",12,1))</f>
        <v>6</v>
      </c>
      <c r="D9" s="33">
        <v>0.0188</v>
      </c>
    </row>
    <row r="10" spans="1:6">
      <c r="A10" s="8" t="s">
        <v>7</v>
      </c>
      <c r="B10" s="8" t="s">
        <v>11</v>
      </c>
      <c r="C10" s="22">
        <f>IF(B10="","",VALUE(LEFT(B10,LEN(B10)-1))*IF(UPPER(RIGHT(B10,1))="Y",12,1))</f>
        <v>12</v>
      </c>
      <c r="D10" s="33">
        <v>0.0187</v>
      </c>
    </row>
    <row r="11" spans="1:6">
      <c r="A11" s="8" t="s">
        <v>7</v>
      </c>
      <c r="B11" s="8" t="s">
        <v>12</v>
      </c>
      <c r="C11" s="22">
        <f>IF(B11="","",VALUE(LEFT(B11,LEN(B11)-1))*IF(UPPER(RIGHT(B11,1))="Y",12,1))</f>
        <v>24</v>
      </c>
      <c r="D11" s="33">
        <v>0.0192</v>
      </c>
    </row>
    <row r="12" spans="1:6">
      <c r="A12" s="8" t="s">
        <v>7</v>
      </c>
      <c r="B12" s="8" t="s">
        <v>13</v>
      </c>
      <c r="C12" s="22">
        <f>IF(B12="","",VALUE(LEFT(B12,LEN(B12)-1))*IF(UPPER(RIGHT(B12,1))="Y",12,1))</f>
        <v>36</v>
      </c>
      <c r="D12" s="33">
        <v>0.02</v>
      </c>
    </row>
    <row r="13" spans="1:6">
      <c r="A13" s="8" t="s">
        <v>7</v>
      </c>
      <c r="B13" s="8" t="s">
        <v>14</v>
      </c>
      <c r="C13" s="22">
        <f>IF(B13="","",VALUE(LEFT(B13,LEN(B13)-1))*IF(UPPER(RIGHT(B13,1))="Y",12,1))</f>
        <v>48</v>
      </c>
      <c r="D13" s="33">
        <v>0.0208</v>
      </c>
    </row>
    <row r="14" spans="1:6">
      <c r="A14" s="8" t="s">
        <v>7</v>
      </c>
      <c r="B14" s="8" t="s">
        <v>15</v>
      </c>
      <c r="C14" s="22">
        <f>IF(B14="","",VALUE(LEFT(B14,LEN(B14)-1))*IF(UPPER(RIGHT(B14,1))="Y",12,1))</f>
        <v>60</v>
      </c>
      <c r="D14" s="33">
        <v>0.0215</v>
      </c>
    </row>
    <row r="15" spans="1:6">
      <c r="A15" s="8" t="s">
        <v>7</v>
      </c>
      <c r="B15" s="8" t="s">
        <v>16</v>
      </c>
      <c r="C15" s="22">
        <f>IF(B15="","",VALUE(LEFT(B15,LEN(B15)-1))*IF(UPPER(RIGHT(B15,1))="Y",12,1))</f>
        <v>72</v>
      </c>
      <c r="D15" s="33">
        <v>0.0222</v>
      </c>
    </row>
    <row r="16" spans="1:6">
      <c r="A16" s="8" t="s">
        <v>7</v>
      </c>
      <c r="B16" s="8" t="s">
        <v>17</v>
      </c>
      <c r="C16" s="22">
        <f>IF(B16="","",VALUE(LEFT(B16,LEN(B16)-1))*IF(UPPER(RIGHT(B16,1))="Y",12,1))</f>
        <v>84</v>
      </c>
      <c r="D16" s="33">
        <v>0.0229</v>
      </c>
    </row>
    <row r="17" spans="1:6">
      <c r="A17" s="8" t="s">
        <v>7</v>
      </c>
      <c r="B17" s="8" t="s">
        <v>18</v>
      </c>
      <c r="C17" s="22">
        <f>IF(B17="","",VALUE(LEFT(B17,LEN(B17)-1))*IF(UPPER(RIGHT(B17,1))="Y",12,1))</f>
        <v>96</v>
      </c>
      <c r="D17" s="33">
        <v>0.0235</v>
      </c>
    </row>
    <row r="18" spans="1:6">
      <c r="A18" s="8" t="s">
        <v>7</v>
      </c>
      <c r="B18" s="8" t="s">
        <v>19</v>
      </c>
      <c r="C18" s="22">
        <f>IF(B18="","",VALUE(LEFT(B18,LEN(B18)-1))*IF(UPPER(RIGHT(B18,1))="Y",12,1))</f>
        <v>120</v>
      </c>
      <c r="D18" s="33">
        <v>0.0247</v>
      </c>
    </row>
    <row r="19" spans="1:6">
      <c r="A19" s="8" t="s">
        <v>7</v>
      </c>
      <c r="B19" s="8" t="s">
        <v>20</v>
      </c>
      <c r="C19" s="22">
        <f>IF(B19="","",VALUE(LEFT(B19,LEN(B19)-1))*IF(UPPER(RIGHT(B19,1))="Y",12,1))</f>
        <v>144</v>
      </c>
      <c r="D19" s="33">
        <v>0.0256</v>
      </c>
    </row>
    <row r="20" spans="1:6">
      <c r="A20" s="8" t="s">
        <v>7</v>
      </c>
      <c r="B20" s="8" t="s">
        <v>21</v>
      </c>
      <c r="C20" s="22">
        <f>IF(B20="","",VALUE(LEFT(B20,LEN(B20)-1))*IF(UPPER(RIGHT(B20,1))="Y",12,1))</f>
        <v>180</v>
      </c>
      <c r="D20" s="33">
        <v>0.0264</v>
      </c>
    </row>
    <row r="21" spans="1:6">
      <c r="A21" s="8" t="s">
        <v>7</v>
      </c>
      <c r="B21" s="8" t="s">
        <v>22</v>
      </c>
      <c r="C21" s="22">
        <f>IF(B21="","",VALUE(LEFT(B21,LEN(B21)-1))*IF(UPPER(RIGHT(B21,1))="Y",12,1))</f>
        <v>240</v>
      </c>
      <c r="D21" s="33">
        <v>0.0268</v>
      </c>
    </row>
    <row r="22" spans="1:6">
      <c r="A22" s="8" t="s">
        <v>23</v>
      </c>
      <c r="B22" s="8" t="s">
        <v>9</v>
      </c>
      <c r="C22" s="22">
        <f>IF(B22="","",VALUE(LEFT(B22,LEN(B22)-1))*IF(UPPER(RIGHT(B22,1))="Y",12,1))</f>
        <v>3</v>
      </c>
      <c r="D22" s="33">
        <v>0.0203</v>
      </c>
      <c r="F22" s="2" t="s">
        <v>27</v>
      </c>
    </row>
    <row r="23" spans="1:6">
      <c r="A23" s="8" t="s">
        <v>24</v>
      </c>
      <c r="B23" s="8" t="s">
        <v>11</v>
      </c>
      <c r="C23" s="22">
        <f>IF(B23="","",VALUE(LEFT(B23,LEN(B23)-1))*IF(UPPER(RIGHT(B23,1))="Y",12,1))</f>
        <v>12</v>
      </c>
      <c r="D23" s="33">
        <v>0.0203</v>
      </c>
      <c r="F23" s="2" t="s">
        <v>28</v>
      </c>
    </row>
    <row r="24" spans="1:6">
      <c r="A24" s="8" t="s">
        <v>24</v>
      </c>
      <c r="B24" s="8" t="s">
        <v>12</v>
      </c>
      <c r="C24" s="22">
        <f>IF(B24="","",VALUE(LEFT(B24,LEN(B24)-1))*IF(UPPER(RIGHT(B24,1))="Y",12,1))</f>
        <v>24</v>
      </c>
      <c r="D24" s="33">
        <v>0.0208</v>
      </c>
    </row>
    <row r="25" spans="1:6">
      <c r="A25" s="8" t="s">
        <v>24</v>
      </c>
      <c r="B25" s="8" t="s">
        <v>13</v>
      </c>
      <c r="C25" s="22">
        <f>IF(B25="","",VALUE(LEFT(B25,LEN(B25)-1))*IF(UPPER(RIGHT(B25,1))="Y",12,1))</f>
        <v>36</v>
      </c>
      <c r="D25" s="33">
        <v>0.0216</v>
      </c>
    </row>
    <row r="26" spans="1:6">
      <c r="A26" s="8" t="s">
        <v>24</v>
      </c>
      <c r="B26" s="8" t="s">
        <v>14</v>
      </c>
      <c r="C26" s="22">
        <f>IF(B26="","",VALUE(LEFT(B26,LEN(B26)-1))*IF(UPPER(RIGHT(B26,1))="Y",12,1))</f>
        <v>48</v>
      </c>
      <c r="D26" s="33">
        <v>0.0224</v>
      </c>
    </row>
    <row r="27" spans="1:6">
      <c r="A27" s="8" t="s">
        <v>24</v>
      </c>
      <c r="B27" s="8" t="s">
        <v>15</v>
      </c>
      <c r="C27" s="22">
        <f>IF(B27="","",VALUE(LEFT(B27,LEN(B27)-1))*IF(UPPER(RIGHT(B27,1))="Y",12,1))</f>
        <v>60</v>
      </c>
      <c r="D27" s="33">
        <v>0.0231</v>
      </c>
    </row>
    <row r="28" spans="1:6">
      <c r="A28" s="8" t="s">
        <v>24</v>
      </c>
      <c r="B28" s="8" t="s">
        <v>16</v>
      </c>
      <c r="C28" s="22">
        <f>IF(B28="","",VALUE(LEFT(B28,LEN(B28)-1))*IF(UPPER(RIGHT(B28,1))="Y",12,1))</f>
        <v>72</v>
      </c>
      <c r="D28" s="33">
        <v>0.0238</v>
      </c>
    </row>
    <row r="29" spans="1:6">
      <c r="A29" s="8" t="s">
        <v>24</v>
      </c>
      <c r="B29" s="8" t="s">
        <v>17</v>
      </c>
      <c r="C29" s="22">
        <f>IF(B29="","",VALUE(LEFT(B29,LEN(B29)-1))*IF(UPPER(RIGHT(B29,1))="Y",12,1))</f>
        <v>84</v>
      </c>
      <c r="D29" s="33">
        <v>0.0245</v>
      </c>
    </row>
    <row r="30" spans="1:6">
      <c r="A30" s="8" t="s">
        <v>24</v>
      </c>
      <c r="B30" s="8" t="s">
        <v>18</v>
      </c>
      <c r="C30" s="22">
        <f>IF(B30="","",VALUE(LEFT(B30,LEN(B30)-1))*IF(UPPER(RIGHT(B30,1))="Y",12,1))</f>
        <v>96</v>
      </c>
      <c r="D30" s="33">
        <v>0.0251</v>
      </c>
    </row>
    <row r="31" spans="1:6">
      <c r="A31" s="8" t="s">
        <v>24</v>
      </c>
      <c r="B31" s="8" t="s">
        <v>19</v>
      </c>
      <c r="C31" s="22">
        <f>IF(B31="","",VALUE(LEFT(B31,LEN(B31)-1))*IF(UPPER(RIGHT(B31,1))="Y",12,1))</f>
        <v>120</v>
      </c>
      <c r="D31" s="33">
        <v>0.0262</v>
      </c>
    </row>
    <row r="32" spans="1:6">
      <c r="A32" s="8" t="s">
        <v>24</v>
      </c>
      <c r="B32" s="8" t="s">
        <v>20</v>
      </c>
      <c r="C32" s="22">
        <f>IF(B32="","",VALUE(LEFT(B32,LEN(B32)-1))*IF(UPPER(RIGHT(B32,1))="Y",12,1))</f>
        <v>144</v>
      </c>
      <c r="D32" s="33">
        <v>0.027</v>
      </c>
    </row>
    <row r="33" spans="1:6">
      <c r="A33" s="8" t="s">
        <v>24</v>
      </c>
      <c r="B33" s="8" t="s">
        <v>21</v>
      </c>
      <c r="C33" s="22">
        <f>IF(B33="","",VALUE(LEFT(B33,LEN(B33)-1))*IF(UPPER(RIGHT(B33,1))="Y",12,1))</f>
        <v>180</v>
      </c>
      <c r="D33" s="33">
        <v>0.0278</v>
      </c>
    </row>
    <row r="34" spans="1:6">
      <c r="A34" s="8" t="s">
        <v>24</v>
      </c>
      <c r="B34" s="8" t="s">
        <v>22</v>
      </c>
      <c r="C34" s="22">
        <f>IF(B34="","",VALUE(LEFT(B34,LEN(B34)-1))*IF(UPPER(RIGHT(B34,1))="Y",12,1))</f>
        <v>240</v>
      </c>
      <c r="D34" s="33">
        <v>0.0281</v>
      </c>
    </row>
    <row r="35" spans="1:6">
      <c r="A35" s="8" t="s">
        <v>25</v>
      </c>
      <c r="B35" s="8" t="s">
        <v>11</v>
      </c>
      <c r="C35" s="22">
        <f>IF(B35="","",VALUE(LEFT(B35,LEN(B35)-1))*IF(UPPER(RIGHT(B35,1))="Y",12,1))</f>
        <v>12</v>
      </c>
      <c r="D35" s="34">
        <v>58</v>
      </c>
      <c r="F35" s="2" t="s">
        <v>29</v>
      </c>
    </row>
    <row r="36" spans="1:6">
      <c r="A36" s="8" t="s">
        <v>25</v>
      </c>
      <c r="B36" s="8" t="s">
        <v>12</v>
      </c>
      <c r="C36" s="22">
        <f>IF(B36="","",VALUE(LEFT(B36,LEN(B36)-1))*IF(UPPER(RIGHT(B36,1))="Y",12,1))</f>
        <v>24</v>
      </c>
      <c r="D36" s="34">
        <v>68</v>
      </c>
    </row>
    <row r="37" spans="1:6">
      <c r="A37" s="8" t="s">
        <v>25</v>
      </c>
      <c r="B37" s="8" t="s">
        <v>13</v>
      </c>
      <c r="C37" s="22">
        <f>IF(B37="","",VALUE(LEFT(B37,LEN(B37)-1))*IF(UPPER(RIGHT(B37,1))="Y",12,1))</f>
        <v>36</v>
      </c>
      <c r="D37" s="34">
        <v>74</v>
      </c>
    </row>
    <row r="38" spans="1:6">
      <c r="A38" s="8" t="s">
        <v>25</v>
      </c>
      <c r="B38" s="8" t="s">
        <v>14</v>
      </c>
      <c r="C38" s="22">
        <f>IF(B38="","",VALUE(LEFT(B38,LEN(B38)-1))*IF(UPPER(RIGHT(B38,1))="Y",12,1))</f>
        <v>48</v>
      </c>
      <c r="D38" s="34">
        <v>77</v>
      </c>
    </row>
    <row r="39" spans="1:6">
      <c r="A39" s="8" t="s">
        <v>25</v>
      </c>
      <c r="B39" s="8" t="s">
        <v>15</v>
      </c>
      <c r="C39" s="22">
        <f>IF(B39="","",VALUE(LEFT(B39,LEN(B39)-1))*IF(UPPER(RIGHT(B39,1))="Y",12,1))</f>
        <v>60</v>
      </c>
      <c r="D39" s="34">
        <v>79</v>
      </c>
    </row>
    <row r="40" spans="1:6">
      <c r="A40" s="8" t="s">
        <v>25</v>
      </c>
      <c r="B40" s="8" t="s">
        <v>17</v>
      </c>
      <c r="C40" s="22">
        <f>IF(B40="","",VALUE(LEFT(B40,LEN(B40)-1))*IF(UPPER(RIGHT(B40,1))="Y",12,1))</f>
        <v>84</v>
      </c>
      <c r="D40" s="34">
        <v>80</v>
      </c>
    </row>
    <row r="41" spans="1:6">
      <c r="A41" s="8" t="s">
        <v>25</v>
      </c>
      <c r="B41" s="8" t="s">
        <v>19</v>
      </c>
      <c r="C41" s="22">
        <f>IF(B41="","",VALUE(LEFT(B41,LEN(B41)-1))*IF(UPPER(RIGHT(B41,1))="Y",12,1))</f>
        <v>120</v>
      </c>
      <c r="D41" s="34">
        <v>79</v>
      </c>
    </row>
    <row r="42" spans="1:6">
      <c r="A42" s="8" t="s">
        <v>25</v>
      </c>
      <c r="B42" s="8" t="s">
        <v>21</v>
      </c>
      <c r="C42" s="22">
        <f>IF(B42="","",VALUE(LEFT(B42,LEN(B42)-1))*IF(UPPER(RIGHT(B42,1))="Y",12,1))</f>
        <v>180</v>
      </c>
      <c r="D42" s="34">
        <v>76</v>
      </c>
    </row>
    <row r="43" spans="1:6">
      <c r="A43" s="8" t="s">
        <v>25</v>
      </c>
      <c r="B43" s="8" t="s">
        <v>22</v>
      </c>
      <c r="C43" s="22">
        <f>IF(B43="","",VALUE(LEFT(B43,LEN(B43)-1))*IF(UPPER(RIGHT(B43,1))="Y",12,1))</f>
        <v>240</v>
      </c>
      <c r="D43" s="34">
        <v>73</v>
      </c>
    </row>
    <row r="44" spans="1:6">
      <c r="A44" s="8"/>
      <c r="B44" s="8"/>
      <c r="C44" s="22">
        <f>IF(B44="","",VALUE(LEFT(B44,LEN(B44)-1))*IF(UPPER(RIGHT(B44,1))="Y",12,1))</f>
        <v/>
      </c>
      <c r="D44" s="8"/>
    </row>
    <row r="45" spans="1:6">
      <c r="A45" s="8"/>
      <c r="B45" s="8"/>
      <c r="C45" s="22">
        <f>IF(B45="","",VALUE(LEFT(B45,LEN(B45)-1))*IF(UPPER(RIGHT(B45,1))="Y",12,1))</f>
        <v/>
      </c>
      <c r="D45" s="8"/>
    </row>
  </sheetData>
  <pageMargins left="0.4" right="0.4" top="0.5" bottom="0.5" header="0.3" footer="0.3"/>
  <pageSetup paperSize="9" fitToHeight="0" orientation="landscape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>
    <pageSetUpPr fitToPage="1"/>
  </sheetPr>
  <dimension ref="B3:B14"/>
  <sheetViews>
    <sheetView showGridLines="0" workbookViewId="0"/>
  </sheetViews>
  <sheetFormatPr defaultRowHeight="15"/>
  <cols>
    <col min="1" max="1" width="2.7109375" customWidth="1"/>
    <col min="2" max="2" width="120.7109375" customWidth="1"/>
  </cols>
  <sheetData>
    <row r="3" spans="2:2">
      <c r="B3" s="19" t="s">
        <v>158</v>
      </c>
    </row>
    <row r="4" spans="2:2" ht="66" customHeight="1">
      <c r="B4" s="21" t="s">
        <v>159</v>
      </c>
    </row>
    <row r="6" spans="2:2">
      <c r="B6" s="19" t="s">
        <v>160</v>
      </c>
    </row>
    <row r="7" spans="2:2" ht="66" customHeight="1">
      <c r="B7" s="21" t="s">
        <v>161</v>
      </c>
    </row>
    <row r="9" spans="2:2">
      <c r="B9" s="19" t="s">
        <v>162</v>
      </c>
    </row>
    <row r="10" spans="2:2" ht="66" customHeight="1">
      <c r="B10" s="21" t="s">
        <v>163</v>
      </c>
    </row>
    <row r="11" spans="2:2" ht="66" customHeight="1">
      <c r="B11" s="21" t="s">
        <v>164</v>
      </c>
    </row>
    <row r="13" spans="2:2">
      <c r="B13" s="19" t="s">
        <v>165</v>
      </c>
    </row>
    <row r="14" spans="2:2" ht="66" customHeight="1">
      <c r="B14" s="21" t="s">
        <v>166</v>
      </c>
    </row>
  </sheetData>
  <pageMargins left="0.4" right="0.4" top="0.5" bottom="0.5" header="0.3" footer="0.3"/>
  <pageSetup paperSize="9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43</vt:i4>
      </vt:variant>
    </vt:vector>
  </HeadingPairs>
  <TitlesOfParts>
    <vt:vector size="52" baseType="lpstr">
      <vt:lpstr>Pricer</vt:lpstr>
      <vt:lpstr>Pitch</vt:lpstr>
      <vt:lpstr>Schedule</vt:lpstr>
      <vt:lpstr>Scenarios</vt:lpstr>
      <vt:lpstr>Risk</vt:lpstr>
      <vt:lpstr>Curves</vt:lpstr>
      <vt:lpstr>Distribution</vt:lpstr>
      <vt:lpstr>Market</vt:lpstr>
      <vt:lpstr>Notes</vt:lpstr>
      <vt:lpstr>Accr</vt:lpstr>
      <vt:lpstr>Amort</vt:lpstr>
      <vt:lpstr>Annuity1</vt:lpstr>
      <vt:lpstr>Budget</vt:lpstr>
      <vt:lpstr>CapPremium</vt:lpstr>
      <vt:lpstr>CapStrike</vt:lpstr>
      <vt:lpstr>CapVolBp</vt:lpstr>
      <vt:lpstr>CollarFloor</vt:lpstr>
      <vt:lpstr>DealData</vt:lpstr>
      <vt:lpstr>DistTop</vt:lpstr>
      <vt:lpstr>FanTop</vt:lpstr>
      <vt:lpstr>FixingNow</vt:lpstr>
      <vt:lpstr>FloorOn</vt:lpstr>
      <vt:lpstr>FloorOverride</vt:lpstr>
      <vt:lpstr>FloorYN</vt:lpstr>
      <vt:lpstr>FSwapRate</vt:lpstr>
      <vt:lpstr>Fwd</vt:lpstr>
      <vt:lpstr>HedgeRatio</vt:lpstr>
      <vt:lpstr>Linear</vt:lpstr>
      <vt:lpstr>LoanN</vt:lpstr>
      <vt:lpstr>Margin</vt:lpstr>
      <vt:lpstr>MarginBp</vt:lpstr>
      <vt:lpstr>Mask</vt:lpstr>
      <vt:lpstr>McTop</vt:lpstr>
      <vt:lpstr>MeanRev</vt:lpstr>
      <vt:lpstr>MktData</vt:lpstr>
      <vt:lpstr>MktShift</vt:lpstr>
      <vt:lpstr>Notional</vt:lpstr>
      <vt:lpstr>NPaths</vt:lpstr>
      <vt:lpstr>NPer</vt:lpstr>
      <vt:lpstr>ParRate</vt:lpstr>
      <vt:lpstr>Market!Print_Area</vt:lpstr>
      <vt:lpstr>Pitch!Print_Area</vt:lpstr>
      <vt:lpstr>Pricer!Print_Area</vt:lpstr>
      <vt:lpstr>ScenView</vt:lpstr>
      <vt:lpstr>Seed</vt:lpstr>
      <vt:lpstr>Status</vt:lpstr>
      <vt:lpstr>SumBase</vt:lpstr>
      <vt:lpstr>SwapRate</vt:lpstr>
      <vt:lpstr>TFix</vt:lpstr>
      <vt:lpstr>ValDate</vt:lpstr>
      <vt:lpstr>VolShift</vt:lpstr>
      <vt:lpstr>Years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Interest Rate Hedging Tool</dc:title>
  <dc:subject>Hedging a floating-rate loan</dc:subject>
  <dc:creator>Leo Yakass</dc:creator>
  <dc:description>Illustrative market data</dc:description>
  <cp:lastModifiedBy>Leo Yakass</cp:lastModifiedBy>
  <dcterms:created xsi:type="dcterms:W3CDTF">2026-10-22T18:12:01Z</dcterms:created>
  <dcterms:modified xsi:type="dcterms:W3CDTF">2026-10-22T18:12:01Z</dcterms:modified>
</cp:coreProperties>
</file>